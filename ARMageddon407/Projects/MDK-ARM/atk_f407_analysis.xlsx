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<sst xmlns="http://schemas.openxmlformats.org/spreadsheetml/2006/main" count="309" uniqueCount="238">
  <si>
    <t>atk_f407</t>
  </si>
  <si>
    <t>malloc.o</t>
  </si>
  <si>
    <t>heap_4.o</t>
  </si>
  <si>
    <t>GUI_CM4F_L.lib</t>
  </si>
  <si>
    <t>startup_stm32f407xx.o</t>
  </si>
  <si>
    <t>tasks.o</t>
  </si>
  <si>
    <t>usart.o</t>
  </si>
  <si>
    <t>gui_core.o</t>
  </si>
  <si>
    <t>gui_alloc.o</t>
  </si>
  <si>
    <t>wm.o</t>
  </si>
  <si>
    <t>button_skinflex.o</t>
  </si>
  <si>
    <t>gui_pid.o</t>
  </si>
  <si>
    <t>gui_onkey.o</t>
  </si>
  <si>
    <t>c_w.l</t>
  </si>
  <si>
    <t>libspace.o</t>
  </si>
  <si>
    <t>wm_touch.o</t>
  </si>
  <si>
    <t>lcd.o</t>
  </si>
  <si>
    <t>sram.o</t>
  </si>
  <si>
    <t>touch.o</t>
  </si>
  <si>
    <t>btim.o</t>
  </si>
  <si>
    <t>gui_cursor.o</t>
  </si>
  <si>
    <t>queue.o</t>
  </si>
  <si>
    <t>button.o</t>
  </si>
  <si>
    <t>timers.o</t>
  </si>
  <si>
    <t>gui_touch_driveranalog.o</t>
  </si>
  <si>
    <t>gui_touch_calibrate.o</t>
  </si>
  <si>
    <t>gui__alpha.o</t>
  </si>
  <si>
    <t>gui_multibuf.o</t>
  </si>
  <si>
    <t>gui_task.o</t>
  </si>
  <si>
    <t>wm_pid__getprevstate.o</t>
  </si>
  <si>
    <t>lcd_aa.o</t>
  </si>
  <si>
    <t>gui__managecache.o</t>
  </si>
  <si>
    <t>lcd_color.o</t>
  </si>
  <si>
    <t>gui_timer.o</t>
  </si>
  <si>
    <t>gui__private.o</t>
  </si>
  <si>
    <t>gui_touch.o</t>
  </si>
  <si>
    <t>freertos_demo.o</t>
  </si>
  <si>
    <t>gui_waitevent.o</t>
  </si>
  <si>
    <t>gui_touch_storestate.o</t>
  </si>
  <si>
    <t>button_skin.o</t>
  </si>
  <si>
    <t>gui_x_freertos.o</t>
  </si>
  <si>
    <t>stm32f4xx_hal.o</t>
  </si>
  <si>
    <t>port.o</t>
  </si>
  <si>
    <t>lcd_getex.o</t>
  </si>
  <si>
    <t>guicc_m565.o</t>
  </si>
  <si>
    <t>gui_selectlayer.o</t>
  </si>
  <si>
    <t>wm__private.o</t>
  </si>
  <si>
    <t>window.o</t>
  </si>
  <si>
    <t>widget_effect_simple.o</t>
  </si>
  <si>
    <t>widget.o</t>
  </si>
  <si>
    <t>guidev_banding.o</t>
  </si>
  <si>
    <t>gui_time.o</t>
  </si>
  <si>
    <t>gui_charline.o</t>
  </si>
  <si>
    <t>gui_char.o</t>
  </si>
  <si>
    <t>system_stm32f4xx.o</t>
  </si>
  <si>
    <t>main.o</t>
  </si>
  <si>
    <t>guidemo.o</t>
  </si>
  <si>
    <t>guiconf.o</t>
  </si>
  <si>
    <t>delay.o</t>
  </si>
  <si>
    <t>guidev_staticdevices.o</t>
  </si>
  <si>
    <t>gui_dispstring.o</t>
  </si>
  <si>
    <t>guidrv_template.o</t>
  </si>
  <si>
    <t>stm32f4xx_hal_rcc.o</t>
  </si>
  <si>
    <t>guidev_32.o</t>
  </si>
  <si>
    <t>guidev_16.o</t>
  </si>
  <si>
    <t>f13_1.o</t>
  </si>
  <si>
    <t>stm32f4xx_hal_uart.o</t>
  </si>
  <si>
    <t>f13_ascii.o</t>
  </si>
  <si>
    <t>btod.o</t>
  </si>
  <si>
    <t>gui_sprite.o</t>
  </si>
  <si>
    <t>guidev_writetoactiveopaque.o</t>
  </si>
  <si>
    <t>f6x8.o</t>
  </si>
  <si>
    <t>wm_lib.o</t>
  </si>
  <si>
    <t>stm32f4xx_hal_gpio.o</t>
  </si>
  <si>
    <t>_printf_fp_dec.o</t>
  </si>
  <si>
    <t>gui_common.o</t>
  </si>
  <si>
    <t>guidev.o</t>
  </si>
  <si>
    <t>_printf_fp_hex.o</t>
  </si>
  <si>
    <t>fz_wm.l</t>
  </si>
  <si>
    <t>stm32f4xx_hal_tim.o</t>
  </si>
  <si>
    <t>gui__compactpixelindices.o</t>
  </si>
  <si>
    <t>gui__divtbl.o</t>
  </si>
  <si>
    <t>gui__drawtwinarc.o</t>
  </si>
  <si>
    <t>stm32f4xx_hal_cortex.o</t>
  </si>
  <si>
    <t>lcd_readrect.o</t>
  </si>
  <si>
    <t>lcdconf.o</t>
  </si>
  <si>
    <t>gui_drawgradient.o</t>
  </si>
  <si>
    <t>guidev_usagebm.o</t>
  </si>
  <si>
    <t>guidev_writetoactivealpha.o</t>
  </si>
  <si>
    <t>__printf_flags_ss_wp.o</t>
  </si>
  <si>
    <t>gui_charm.o</t>
  </si>
  <si>
    <t>gui_device.o</t>
  </si>
  <si>
    <t>bigflt0.o</t>
  </si>
  <si>
    <t>stm32f4xx_ll_fsmc.o</t>
  </si>
  <si>
    <t>dmul.o</t>
  </si>
  <si>
    <t>gui_charp.o</t>
  </si>
  <si>
    <t>gui__expandpixelindices.o</t>
  </si>
  <si>
    <t>lc_ctype_c.o</t>
  </si>
  <si>
    <t>stm32f4xx_hal_dma.o</t>
  </si>
  <si>
    <t>list.o</t>
  </si>
  <si>
    <t>wm_move.o</t>
  </si>
  <si>
    <t>key.o</t>
  </si>
  <si>
    <t>lcd_mirror.o</t>
  </si>
  <si>
    <t>gui_drawlib.o</t>
  </si>
  <si>
    <t>sys.o</t>
  </si>
  <si>
    <t>lludivv7m.o</t>
  </si>
  <si>
    <t>wm_multibuf.o</t>
  </si>
  <si>
    <t>gui_2dlib.o</t>
  </si>
  <si>
    <t>gui_x_touch_analog.o</t>
  </si>
  <si>
    <t>guicc_0.o</t>
  </si>
  <si>
    <t>lcd_set.o</t>
  </si>
  <si>
    <t>wm_screen2win.o</t>
  </si>
  <si>
    <t>_printf_wctomb.o</t>
  </si>
  <si>
    <t>_printf_hex_int_ll_ptr.o</t>
  </si>
  <si>
    <t>_printf_intcommon.o</t>
  </si>
  <si>
    <t>led.o</t>
  </si>
  <si>
    <t>dialog.o</t>
  </si>
  <si>
    <t>dnaninf.o</t>
  </si>
  <si>
    <t>rt_memcpy_v6.o</t>
  </si>
  <si>
    <t>lludiv10.o</t>
  </si>
  <si>
    <t>wm_setfocusonnextchild.o</t>
  </si>
  <si>
    <t>rt_memmove_v6.o</t>
  </si>
  <si>
    <t>_printf_fp_infnan.o</t>
  </si>
  <si>
    <t>strcmpv7em.o</t>
  </si>
  <si>
    <t>_printf_longlong_dec.o</t>
  </si>
  <si>
    <t>wm_timer.o</t>
  </si>
  <si>
    <t>rt_memmove_w.o</t>
  </si>
  <si>
    <t>_printf_dec.o</t>
  </si>
  <si>
    <t>stm32f4xx_hal_sram.o</t>
  </si>
  <si>
    <t>guidev_write.o</t>
  </si>
  <si>
    <t>_printf_oct_int_ll.o</t>
  </si>
  <si>
    <t>wm_getwindowsize.o</t>
  </si>
  <si>
    <t>rt_memcpy_w.o</t>
  </si>
  <si>
    <t>guidev_setorg.o</t>
  </si>
  <si>
    <t>wm_setfocusonprevchild.o</t>
  </si>
  <si>
    <t>dfix.o</t>
  </si>
  <si>
    <t>__dczerorl2.o</t>
  </si>
  <si>
    <t>memcmp.o</t>
  </si>
  <si>
    <t>guidev_usage.o</t>
  </si>
  <si>
    <t>gui_uc.o</t>
  </si>
  <si>
    <t>_printf_str.o</t>
  </si>
  <si>
    <t>rt_memclr_w.o</t>
  </si>
  <si>
    <t>_printf_pad.o</t>
  </si>
  <si>
    <t>sys_stackheap_outer.o</t>
  </si>
  <si>
    <t>strcpy.o</t>
  </si>
  <si>
    <t>lc_numeric_c.o</t>
  </si>
  <si>
    <t>_c16rtomb.o</t>
  </si>
  <si>
    <t>wm_settrans.o</t>
  </si>
  <si>
    <t>rt_memclr.o</t>
  </si>
  <si>
    <t>guidev_clear.o</t>
  </si>
  <si>
    <t>lcd_selectlcd.o</t>
  </si>
  <si>
    <t>strlen.o</t>
  </si>
  <si>
    <t>wm_setcapture.o</t>
  </si>
  <si>
    <t>guicc_8888.o</t>
  </si>
  <si>
    <t>guidev_reduceysize.o</t>
  </si>
  <si>
    <t>__scatter.o</t>
  </si>
  <si>
    <t>guidev_getysize.o</t>
  </si>
  <si>
    <t>m_wm.l</t>
  </si>
  <si>
    <t>fpclassify.o</t>
  </si>
  <si>
    <t>_printf_char_common.o</t>
  </si>
  <si>
    <t>lcd_setcliprectex.o</t>
  </si>
  <si>
    <t>dflt_clz.o</t>
  </si>
  <si>
    <t>_printf_wchar.o</t>
  </si>
  <si>
    <t>_printf_char.o</t>
  </si>
  <si>
    <t>gui_draw.o</t>
  </si>
  <si>
    <t>_printf_charcount.o</t>
  </si>
  <si>
    <t>guidev_getdataptr.o</t>
  </si>
  <si>
    <t>_printf_truncate.o</t>
  </si>
  <si>
    <t>_printf_char_file.o</t>
  </si>
  <si>
    <t>lcd_updatecolorindices.o</t>
  </si>
  <si>
    <t>gui_setalpha.o</t>
  </si>
  <si>
    <t>libinit2.o</t>
  </si>
  <si>
    <t>gui_uc_encodenone.o</t>
  </si>
  <si>
    <t>lcd_getcolorindex.o</t>
  </si>
  <si>
    <t>gui_encext.o</t>
  </si>
  <si>
    <t>__scatter_zi.o</t>
  </si>
  <si>
    <t>fpinit.o</t>
  </si>
  <si>
    <t>lcd_getnumdisplays.o</t>
  </si>
  <si>
    <t>printf.o</t>
  </si>
  <si>
    <t>memset.o</t>
  </si>
  <si>
    <t>stm32f4xx_it.o</t>
  </si>
  <si>
    <t>exit.o</t>
  </si>
  <si>
    <t>rt_ctype_table.o</t>
  </si>
  <si>
    <t>aeabi_memset4.o</t>
  </si>
  <si>
    <t>aeabi_memset.o</t>
  </si>
  <si>
    <t>stm32f4xx_hal_tim_ex.o</t>
  </si>
  <si>
    <t>__printf_wp.o</t>
  </si>
  <si>
    <t>dretinf.o</t>
  </si>
  <si>
    <t>__rtentry2.o</t>
  </si>
  <si>
    <t>rtexit2.o</t>
  </si>
  <si>
    <t>_printf_ll.o</t>
  </si>
  <si>
    <t>_printf_l.o</t>
  </si>
  <si>
    <t>rt_locale_intlibspace.o</t>
  </si>
  <si>
    <t>memcpy.o</t>
  </si>
  <si>
    <t>ferror.o</t>
  </si>
  <si>
    <t>__main.o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</si>
  <si>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</si>
  <si>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</si>
  <si>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</si>
  <si>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</si>
  <si>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</si>
  <si>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</si>
  <si>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</si>
  <si>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</si>
  <si>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</si>
  <si>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</si>
  <si>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</si>
  <si>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</si>
  <si>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</si>
  <si>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</si>
  <si>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</si>
  <si>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</si>
  <si>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</si>
  <si>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</si>
  <si>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</si>
  <si>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</si>
  <si>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</si>
  <si>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</si>
  <si>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printf2.o</t>
  </si>
  <si>
    <t>printf1.o</t>
  </si>
  <si>
    <t>_printf_percent_end.o</t>
  </si>
  <si>
    <t>use_no_semi_2.o</t>
  </si>
  <si>
    <t>use_no_semi.o</t>
  </si>
  <si>
    <t>rtexit.o</t>
  </si>
  <si>
    <t>libshutdown2.o</t>
  </si>
  <si>
    <t>libshutdown.o</t>
  </si>
  <si>
    <t>libinit.o</t>
  </si>
  <si>
    <t>guicc_8888_index2color.o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</si>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</sst>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ram_percent!$A$3:$A$231</c:f>
              <c:strCache>
                <c:ptCount val="229"/>
                <c:pt idx="0">
                  <c:v>malloc.o</c:v>
                </c:pt>
                <c:pt idx="1">
                  <c:v>heap_4.o</c:v>
                </c:pt>
                <c:pt idx="2">
                  <c:v>GUI_CM4F_L.lib</c:v>
                </c:pt>
                <c:pt idx="3">
                  <c:v>startup_stm32f407xx.o</c:v>
                </c:pt>
                <c:pt idx="4">
                  <c:v>tasks.o</c:v>
                </c:pt>
                <c:pt idx="5">
                  <c:v>usart.o</c:v>
                </c:pt>
                <c:pt idx="6">
                  <c:v>gui_core.o</c:v>
                </c:pt>
                <c:pt idx="7">
                  <c:v>gui_alloc.o</c:v>
                </c:pt>
                <c:pt idx="8">
                  <c:v>wm.o</c:v>
                </c:pt>
                <c:pt idx="9">
                  <c:v>button_skinflex.o</c:v>
                </c:pt>
                <c:pt idx="10">
                  <c:v>gui_pid.o</c:v>
                </c:pt>
                <c:pt idx="11">
                  <c:v>gui_onkey.o</c:v>
                </c:pt>
                <c:pt idx="12">
                  <c:v>c_w.l</c:v>
                </c:pt>
                <c:pt idx="13">
                  <c:v>libspace.o</c:v>
                </c:pt>
                <c:pt idx="14">
                  <c:v>wm_touch.o</c:v>
                </c:pt>
                <c:pt idx="15">
                  <c:v>lcd.o</c:v>
                </c:pt>
                <c:pt idx="16">
                  <c:v>sram.o</c:v>
                </c:pt>
                <c:pt idx="17">
                  <c:v>touch.o</c:v>
                </c:pt>
                <c:pt idx="18">
                  <c:v>btim.o</c:v>
                </c:pt>
                <c:pt idx="19">
                  <c:v>gui_cursor.o</c:v>
                </c:pt>
                <c:pt idx="20">
                  <c:v>queue.o</c:v>
                </c:pt>
                <c:pt idx="21">
                  <c:v>button.o</c:v>
                </c:pt>
                <c:pt idx="22">
                  <c:v>timers.o</c:v>
                </c:pt>
                <c:pt idx="23">
                  <c:v>gui_touch_driveranalog.o</c:v>
                </c:pt>
                <c:pt idx="24">
                  <c:v>gui_touch_calibrate.o</c:v>
                </c:pt>
                <c:pt idx="25">
                  <c:v>gui__alpha.o</c:v>
                </c:pt>
                <c:pt idx="26">
                  <c:v>gui_multibuf.o</c:v>
                </c:pt>
                <c:pt idx="27">
                  <c:v>gui_task.o</c:v>
                </c:pt>
                <c:pt idx="28">
                  <c:v>wm_pid__getprevstate.o</c:v>
                </c:pt>
                <c:pt idx="29">
                  <c:v>lcd_aa.o</c:v>
                </c:pt>
                <c:pt idx="30">
                  <c:v>gui__managecache.o</c:v>
                </c:pt>
                <c:pt idx="31">
                  <c:v>lcd_color.o</c:v>
                </c:pt>
                <c:pt idx="32">
                  <c:v>gui_timer.o</c:v>
                </c:pt>
                <c:pt idx="33">
                  <c:v>gui__private.o</c:v>
                </c:pt>
                <c:pt idx="34">
                  <c:v>gui_touch.o</c:v>
                </c:pt>
                <c:pt idx="35">
                  <c:v>freertos_demo.o</c:v>
                </c:pt>
                <c:pt idx="36">
                  <c:v>gui_waitevent.o</c:v>
                </c:pt>
                <c:pt idx="37">
                  <c:v>gui_touch_storestate.o</c:v>
                </c:pt>
                <c:pt idx="38">
                  <c:v>button_skin.o</c:v>
                </c:pt>
                <c:pt idx="39">
                  <c:v>gui_x_freertos.o</c:v>
                </c:pt>
                <c:pt idx="40">
                  <c:v>stm32f4xx_hal.o</c:v>
                </c:pt>
                <c:pt idx="41">
                  <c:v>port.o</c:v>
                </c:pt>
                <c:pt idx="42">
                  <c:v>lcd_getex.o</c:v>
                </c:pt>
                <c:pt idx="43">
                  <c:v>guicc_m565.o</c:v>
                </c:pt>
                <c:pt idx="44">
                  <c:v>gui_selectlayer.o</c:v>
                </c:pt>
                <c:pt idx="45">
                  <c:v>wm__private.o</c:v>
                </c:pt>
                <c:pt idx="46">
                  <c:v>window.o</c:v>
                </c:pt>
                <c:pt idx="47">
                  <c:v>widget_effect_simple.o</c:v>
                </c:pt>
                <c:pt idx="48">
                  <c:v>widget.o</c:v>
                </c:pt>
                <c:pt idx="49">
                  <c:v>lcd.o</c:v>
                </c:pt>
                <c:pt idx="50">
                  <c:v>guidev_banding.o</c:v>
                </c:pt>
                <c:pt idx="51">
                  <c:v>gui_time.o</c:v>
                </c:pt>
                <c:pt idx="52">
                  <c:v>gui_charline.o</c:v>
                </c:pt>
                <c:pt idx="53">
                  <c:v>gui_char.o</c:v>
                </c:pt>
                <c:pt idx="54">
                  <c:v>system_stm32f4xx.o</c:v>
                </c:pt>
                <c:pt idx="55">
                  <c:v>main.o</c:v>
                </c:pt>
                <c:pt idx="56">
                  <c:v>guidemo.o</c:v>
                </c:pt>
                <c:pt idx="57">
                  <c:v>guiconf.o</c:v>
                </c:pt>
                <c:pt idx="58">
                  <c:v>delay.o</c:v>
                </c:pt>
                <c:pt idx="59">
                  <c:v>guidev_staticdevices.o</c:v>
                </c:pt>
                <c:pt idx="60">
                  <c:v>gui_dispstring.o</c:v>
                </c:pt>
                <c:pt idx="228">
                  <c:v>Totals</c:v>
                </c:pt>
              </c:strCache>
            </c:strRef>
          </c:cat>
          <c:val>
            <c:numRef>
              <c:f>ram_percent!$B$3:$B$231</c:f>
              <c:numCache>
                <c:formatCode>General</c:formatCode>
                <c:ptCount val="229"/>
                <c:pt idx="0">
                  <c:v>76.88113403320313</c:v>
                </c:pt>
                <c:pt idx="1">
                  <c:v>14.50384902954102</c:v>
                </c:pt>
                <c:pt idx="2">
                  <c:v>2.274171829223633</c:v>
                </c:pt>
                <c:pt idx="3">
                  <c:v>1.44642984867096</c:v>
                </c:pt>
                <c:pt idx="4">
                  <c:v>1.13002336025238</c:v>
                </c:pt>
                <c:pt idx="5">
                  <c:v>0.501447856426239</c:v>
                </c:pt>
                <c:pt idx="6">
                  <c:v>0.3375944495201111</c:v>
                </c:pt>
                <c:pt idx="7">
                  <c:v>0.2938060462474823</c:v>
                </c:pt>
                <c:pt idx="8">
                  <c:v>0.1878663748502731</c:v>
                </c:pt>
                <c:pt idx="9">
                  <c:v>0.1808037310838699</c:v>
                </c:pt>
                <c:pt idx="10">
                  <c:v>0.1469030231237412</c:v>
                </c:pt>
                <c:pt idx="11">
                  <c:v>0.1469030231237412</c:v>
                </c:pt>
                <c:pt idx="12">
                  <c:v>0.1356028020381928</c:v>
                </c:pt>
                <c:pt idx="13">
                  <c:v>0.1356028020381928</c:v>
                </c:pt>
                <c:pt idx="14">
                  <c:v>0.1356028020381928</c:v>
                </c:pt>
                <c:pt idx="15">
                  <c:v>0.1327777355909348</c:v>
                </c:pt>
                <c:pt idx="16">
                  <c:v>0.1130023300647736</c:v>
                </c:pt>
                <c:pt idx="17">
                  <c:v>0.101702094078064</c:v>
                </c:pt>
                <c:pt idx="18">
                  <c:v>0.101702094078064</c:v>
                </c:pt>
                <c:pt idx="19">
                  <c:v>0.09040186554193497</c:v>
                </c:pt>
                <c:pt idx="20">
                  <c:v>0.09040186554193497</c:v>
                </c:pt>
                <c:pt idx="21">
                  <c:v>0.08475174754858017</c:v>
                </c:pt>
                <c:pt idx="22">
                  <c:v>0.08475174754858017</c:v>
                </c:pt>
                <c:pt idx="23">
                  <c:v>0.07910162955522537</c:v>
                </c:pt>
                <c:pt idx="24">
                  <c:v>0.07345151156187058</c:v>
                </c:pt>
                <c:pt idx="25">
                  <c:v>0.06780140101909638</c:v>
                </c:pt>
                <c:pt idx="26">
                  <c:v>0.06215128302574158</c:v>
                </c:pt>
                <c:pt idx="27">
                  <c:v>0.03955081477761269</c:v>
                </c:pt>
                <c:pt idx="28">
                  <c:v>0.03390070050954819</c:v>
                </c:pt>
                <c:pt idx="29">
                  <c:v>0.03390070050954819</c:v>
                </c:pt>
                <c:pt idx="30">
                  <c:v>0.03390070050954819</c:v>
                </c:pt>
                <c:pt idx="31">
                  <c:v>0.02825058251619339</c:v>
                </c:pt>
                <c:pt idx="32">
                  <c:v>0.02825058251619339</c:v>
                </c:pt>
                <c:pt idx="33">
                  <c:v>0.02825058251619339</c:v>
                </c:pt>
                <c:pt idx="34">
                  <c:v>0.02260046638548374</c:v>
                </c:pt>
                <c:pt idx="35">
                  <c:v>0.02260046638548374</c:v>
                </c:pt>
                <c:pt idx="36">
                  <c:v>0.01695035025477409</c:v>
                </c:pt>
                <c:pt idx="37">
                  <c:v>0.01695035025477409</c:v>
                </c:pt>
                <c:pt idx="38">
                  <c:v>0.01695035025477409</c:v>
                </c:pt>
                <c:pt idx="39">
                  <c:v>0.01695035025477409</c:v>
                </c:pt>
                <c:pt idx="40">
                  <c:v>0.012712761759758</c:v>
                </c:pt>
                <c:pt idx="41">
                  <c:v>0.012712761759758</c:v>
                </c:pt>
                <c:pt idx="42">
                  <c:v>0.01130023319274187</c:v>
                </c:pt>
                <c:pt idx="43">
                  <c:v>0.01130023319274187</c:v>
                </c:pt>
                <c:pt idx="44">
                  <c:v>0.01130023319274187</c:v>
                </c:pt>
                <c:pt idx="45">
                  <c:v>0.005650116596370935</c:v>
                </c:pt>
                <c:pt idx="46">
                  <c:v>0.005650116596370935</c:v>
                </c:pt>
                <c:pt idx="47">
                  <c:v>0.005650116596370935</c:v>
                </c:pt>
                <c:pt idx="48">
                  <c:v>0.005650116596370935</c:v>
                </c:pt>
                <c:pt idx="49">
                  <c:v>0.005650116596370935</c:v>
                </c:pt>
                <c:pt idx="50">
                  <c:v>0.005650116596370935</c:v>
                </c:pt>
                <c:pt idx="51">
                  <c:v>0.005650116596370935</c:v>
                </c:pt>
                <c:pt idx="52">
                  <c:v>0.005650116596370935</c:v>
                </c:pt>
                <c:pt idx="53">
                  <c:v>0.005650116596370935</c:v>
                </c:pt>
                <c:pt idx="54">
                  <c:v>0.005650116596370935</c:v>
                </c:pt>
                <c:pt idx="55">
                  <c:v>0.005650116596370935</c:v>
                </c:pt>
                <c:pt idx="56">
                  <c:v>0.005650116596370935</c:v>
                </c:pt>
                <c:pt idx="57">
                  <c:v>0.005650116596370935</c:v>
                </c:pt>
                <c:pt idx="58">
                  <c:v>0.005650116596370935</c:v>
                </c:pt>
                <c:pt idx="59">
                  <c:v>0.001412529149092734</c:v>
                </c:pt>
                <c:pt idx="60">
                  <c:v>0.001412529149092734</c:v>
                </c:pt>
                <c:pt idx="22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flash_percent!$A$3:$A$231</c:f>
              <c:strCache>
                <c:ptCount val="229"/>
                <c:pt idx="0">
                  <c:v>GUI_CM4F_L.lib</c:v>
                </c:pt>
                <c:pt idx="1">
                  <c:v>lcd.o</c:v>
                </c:pt>
                <c:pt idx="2">
                  <c:v>c_w.l</c:v>
                </c:pt>
                <c:pt idx="3">
                  <c:v>tasks.o</c:v>
                </c:pt>
                <c:pt idx="4">
                  <c:v>wm.o</c:v>
                </c:pt>
                <c:pt idx="5">
                  <c:v>guidrv_template.o</c:v>
                </c:pt>
                <c:pt idx="6">
                  <c:v>queue.o</c:v>
                </c:pt>
                <c:pt idx="7">
                  <c:v>stm32f4xx_hal_rcc.o</c:v>
                </c:pt>
                <c:pt idx="8">
                  <c:v>guidev_32.o</c:v>
                </c:pt>
                <c:pt idx="9">
                  <c:v>guidev_16.o</c:v>
                </c:pt>
                <c:pt idx="10">
                  <c:v>f13_1.o</c:v>
                </c:pt>
                <c:pt idx="11">
                  <c:v>stm32f4xx_hal_uart.o</c:v>
                </c:pt>
                <c:pt idx="12">
                  <c:v>f13_ascii.o</c:v>
                </c:pt>
                <c:pt idx="13">
                  <c:v>btod.o</c:v>
                </c:pt>
                <c:pt idx="14">
                  <c:v>gui_sprite.o</c:v>
                </c:pt>
                <c:pt idx="15">
                  <c:v>guidev_writetoactiveopaque.o</c:v>
                </c:pt>
                <c:pt idx="16">
                  <c:v>f6x8.o</c:v>
                </c:pt>
                <c:pt idx="17">
                  <c:v>touch.o</c:v>
                </c:pt>
                <c:pt idx="18">
                  <c:v>lcd.o</c:v>
                </c:pt>
                <c:pt idx="19">
                  <c:v>gui_alloc.o</c:v>
                </c:pt>
                <c:pt idx="20">
                  <c:v>heap_4.o</c:v>
                </c:pt>
                <c:pt idx="21">
                  <c:v>gui_touch_calibrate.o</c:v>
                </c:pt>
                <c:pt idx="22">
                  <c:v>wm_lib.o</c:v>
                </c:pt>
                <c:pt idx="23">
                  <c:v>timers.o</c:v>
                </c:pt>
                <c:pt idx="24">
                  <c:v>port.o</c:v>
                </c:pt>
                <c:pt idx="25">
                  <c:v>wm_touch.o</c:v>
                </c:pt>
                <c:pt idx="26">
                  <c:v>stm32f4xx_hal_gpio.o</c:v>
                </c:pt>
                <c:pt idx="27">
                  <c:v>_printf_fp_dec.o</c:v>
                </c:pt>
                <c:pt idx="28">
                  <c:v>gui_common.o</c:v>
                </c:pt>
                <c:pt idx="29">
                  <c:v>button.o</c:v>
                </c:pt>
                <c:pt idx="30">
                  <c:v>gui__alpha.o</c:v>
                </c:pt>
                <c:pt idx="31">
                  <c:v>guidev.o</c:v>
                </c:pt>
                <c:pt idx="32">
                  <c:v>_printf_fp_hex.o</c:v>
                </c:pt>
                <c:pt idx="33">
                  <c:v>button_skinflex.o</c:v>
                </c:pt>
                <c:pt idx="34">
                  <c:v>wm__private.o</c:v>
                </c:pt>
                <c:pt idx="35">
                  <c:v>gui_core.o</c:v>
                </c:pt>
                <c:pt idx="36">
                  <c:v>fz_wm.l</c:v>
                </c:pt>
                <c:pt idx="37">
                  <c:v>stm32f4xx_hal_tim.o</c:v>
                </c:pt>
                <c:pt idx="38">
                  <c:v>gui__compactpixelindices.o</c:v>
                </c:pt>
                <c:pt idx="39">
                  <c:v>gui__divtbl.o</c:v>
                </c:pt>
                <c:pt idx="40">
                  <c:v>usart.o</c:v>
                </c:pt>
                <c:pt idx="41">
                  <c:v>gui_dispstring.o</c:v>
                </c:pt>
                <c:pt idx="42">
                  <c:v>gui__drawtwinarc.o</c:v>
                </c:pt>
                <c:pt idx="43">
                  <c:v>stm32f4xx_hal_cortex.o</c:v>
                </c:pt>
                <c:pt idx="44">
                  <c:v>sram.o</c:v>
                </c:pt>
                <c:pt idx="45">
                  <c:v>lcd_readrect.o</c:v>
                </c:pt>
                <c:pt idx="46">
                  <c:v>gui_charline.o</c:v>
                </c:pt>
                <c:pt idx="47">
                  <c:v>gui__private.o</c:v>
                </c:pt>
                <c:pt idx="48">
                  <c:v>lcdconf.o</c:v>
                </c:pt>
                <c:pt idx="49">
                  <c:v>widget.o</c:v>
                </c:pt>
                <c:pt idx="50">
                  <c:v>window.o</c:v>
                </c:pt>
                <c:pt idx="51">
                  <c:v>startup_stm32f407xx.o</c:v>
                </c:pt>
                <c:pt idx="52">
                  <c:v>gui_drawgradient.o</c:v>
                </c:pt>
                <c:pt idx="53">
                  <c:v>guidev_usagebm.o</c:v>
                </c:pt>
                <c:pt idx="54">
                  <c:v>lcd_getex.o</c:v>
                </c:pt>
                <c:pt idx="55">
                  <c:v>guidev_writetoactivealpha.o</c:v>
                </c:pt>
                <c:pt idx="56">
                  <c:v>gui_touch_driveranalog.o</c:v>
                </c:pt>
                <c:pt idx="57">
                  <c:v>__printf_flags_ss_wp.o</c:v>
                </c:pt>
                <c:pt idx="58">
                  <c:v>gui_task.o</c:v>
                </c:pt>
                <c:pt idx="59">
                  <c:v>guidemo.o</c:v>
                </c:pt>
                <c:pt idx="60">
                  <c:v>gui_charm.o</c:v>
                </c:pt>
                <c:pt idx="61">
                  <c:v>gui_device.o</c:v>
                </c:pt>
                <c:pt idx="62">
                  <c:v>bigflt0.o</c:v>
                </c:pt>
                <c:pt idx="63">
                  <c:v>freertos_demo.o</c:v>
                </c:pt>
                <c:pt idx="64">
                  <c:v>gui_timer.o</c:v>
                </c:pt>
                <c:pt idx="65">
                  <c:v>gui_pid.o</c:v>
                </c:pt>
                <c:pt idx="66">
                  <c:v>guidev_staticdevices.o</c:v>
                </c:pt>
                <c:pt idx="67">
                  <c:v>stm32f4xx_ll_fsmc.o</c:v>
                </c:pt>
                <c:pt idx="68">
                  <c:v>guidev_banding.o</c:v>
                </c:pt>
                <c:pt idx="69">
                  <c:v>gui_char.o</c:v>
                </c:pt>
                <c:pt idx="70">
                  <c:v>dmul.o</c:v>
                </c:pt>
                <c:pt idx="71">
                  <c:v>gui_charp.o</c:v>
                </c:pt>
                <c:pt idx="72">
                  <c:v>gui__expandpixelindices.o</c:v>
                </c:pt>
                <c:pt idx="73">
                  <c:v>lc_ctype_c.o</c:v>
                </c:pt>
                <c:pt idx="74">
                  <c:v>lcd_color.o</c:v>
                </c:pt>
                <c:pt idx="75">
                  <c:v>stm32f4xx_hal_dma.o</c:v>
                </c:pt>
                <c:pt idx="76">
                  <c:v>malloc.o</c:v>
                </c:pt>
                <c:pt idx="77">
                  <c:v>list.o</c:v>
                </c:pt>
                <c:pt idx="78">
                  <c:v>wm_move.o</c:v>
                </c:pt>
                <c:pt idx="79">
                  <c:v>delay.o</c:v>
                </c:pt>
                <c:pt idx="80">
                  <c:v>guicc_m565.o</c:v>
                </c:pt>
                <c:pt idx="81">
                  <c:v>key.o</c:v>
                </c:pt>
                <c:pt idx="82">
                  <c:v>gui_multibuf.o</c:v>
                </c:pt>
                <c:pt idx="83">
                  <c:v>lcd_mirror.o</c:v>
                </c:pt>
                <c:pt idx="84">
                  <c:v>gui_drawlib.o</c:v>
                </c:pt>
                <c:pt idx="85">
                  <c:v>gui__managecache.o</c:v>
                </c:pt>
                <c:pt idx="86">
                  <c:v>sys.o</c:v>
                </c:pt>
                <c:pt idx="87">
                  <c:v>lludivv7m.o</c:v>
                </c:pt>
                <c:pt idx="88">
                  <c:v>wm_multibuf.o</c:v>
                </c:pt>
                <c:pt idx="89">
                  <c:v>gui_2dlib.o</c:v>
                </c:pt>
                <c:pt idx="90">
                  <c:v>gui_x_touch_analog.o</c:v>
                </c:pt>
                <c:pt idx="91">
                  <c:v>guicc_0.o</c:v>
                </c:pt>
                <c:pt idx="92">
                  <c:v>lcd_set.o</c:v>
                </c:pt>
                <c:pt idx="93">
                  <c:v>gui_x_freertos.o</c:v>
                </c:pt>
                <c:pt idx="94">
                  <c:v>stm32f4xx_hal.o</c:v>
                </c:pt>
                <c:pt idx="95">
                  <c:v>wm_screen2win.o</c:v>
                </c:pt>
                <c:pt idx="96">
                  <c:v>_printf_wctomb.o</c:v>
                </c:pt>
                <c:pt idx="97">
                  <c:v>_printf_hex_int_ll_ptr.o</c:v>
                </c:pt>
                <c:pt idx="98">
                  <c:v>button_skin.o</c:v>
                </c:pt>
                <c:pt idx="99">
                  <c:v>_printf_intcommon.o</c:v>
                </c:pt>
                <c:pt idx="100">
                  <c:v>widget_effect_simple.o</c:v>
                </c:pt>
                <c:pt idx="101">
                  <c:v>led.o</c:v>
                </c:pt>
                <c:pt idx="102">
                  <c:v>dialog.o</c:v>
                </c:pt>
                <c:pt idx="103">
                  <c:v>dnaninf.o</c:v>
                </c:pt>
                <c:pt idx="104">
                  <c:v>gui_selectlayer.o</c:v>
                </c:pt>
                <c:pt idx="105">
                  <c:v>rt_memcpy_v6.o</c:v>
                </c:pt>
                <c:pt idx="106">
                  <c:v>lludiv10.o</c:v>
                </c:pt>
                <c:pt idx="107">
                  <c:v>wm_setfocusonnextchild.o</c:v>
                </c:pt>
                <c:pt idx="108">
                  <c:v>rt_memmove_v6.o</c:v>
                </c:pt>
                <c:pt idx="109">
                  <c:v>_printf_fp_infnan.o</c:v>
                </c:pt>
                <c:pt idx="110">
                  <c:v>strcmpv7em.o</c:v>
                </c:pt>
                <c:pt idx="111">
                  <c:v>_printf_longlong_dec.o</c:v>
                </c:pt>
                <c:pt idx="112">
                  <c:v>wm_timer.o</c:v>
                </c:pt>
                <c:pt idx="113">
                  <c:v>rt_memmove_w.o</c:v>
                </c:pt>
                <c:pt idx="114">
                  <c:v>_printf_dec.o</c:v>
                </c:pt>
                <c:pt idx="115">
                  <c:v>lcd_aa.o</c:v>
                </c:pt>
                <c:pt idx="116">
                  <c:v>gui_cursor.o</c:v>
                </c:pt>
                <c:pt idx="117">
                  <c:v>stm32f4xx_hal_sram.o</c:v>
                </c:pt>
                <c:pt idx="118">
                  <c:v>gui_onkey.o</c:v>
                </c:pt>
                <c:pt idx="119">
                  <c:v>guidev_write.o</c:v>
                </c:pt>
                <c:pt idx="120">
                  <c:v>gui_time.o</c:v>
                </c:pt>
                <c:pt idx="121">
                  <c:v>_printf_oct_int_ll.o</c:v>
                </c:pt>
                <c:pt idx="122">
                  <c:v>wm_getwindowsize.o</c:v>
                </c:pt>
                <c:pt idx="123">
                  <c:v>rt_memcpy_w.o</c:v>
                </c:pt>
                <c:pt idx="124">
                  <c:v>guidev_setorg.o</c:v>
                </c:pt>
                <c:pt idx="125">
                  <c:v>wm_setfocusonprevchild.o</c:v>
                </c:pt>
                <c:pt idx="126">
                  <c:v>dfix.o</c:v>
                </c:pt>
                <c:pt idx="127">
                  <c:v>main.o</c:v>
                </c:pt>
                <c:pt idx="128">
                  <c:v>__dczerorl2.o</c:v>
                </c:pt>
                <c:pt idx="129">
                  <c:v>memcmp.o</c:v>
                </c:pt>
                <c:pt idx="130">
                  <c:v>gui_touch.o</c:v>
                </c:pt>
                <c:pt idx="131">
                  <c:v>guidev_usage.o</c:v>
                </c:pt>
                <c:pt idx="132">
                  <c:v>gui_uc.o</c:v>
                </c:pt>
                <c:pt idx="133">
                  <c:v>_printf_str.o</c:v>
                </c:pt>
                <c:pt idx="134">
                  <c:v>rt_memclr_w.o</c:v>
                </c:pt>
                <c:pt idx="135">
                  <c:v>_printf_pad.o</c:v>
                </c:pt>
                <c:pt idx="136">
                  <c:v>sys_stackheap_outer.o</c:v>
                </c:pt>
                <c:pt idx="137">
                  <c:v>strcpy.o</c:v>
                </c:pt>
                <c:pt idx="138">
                  <c:v>lc_numeric_c.o</c:v>
                </c:pt>
                <c:pt idx="139">
                  <c:v>_c16rtomb.o</c:v>
                </c:pt>
                <c:pt idx="140">
                  <c:v>wm_settrans.o</c:v>
                </c:pt>
                <c:pt idx="141">
                  <c:v>rt_memclr.o</c:v>
                </c:pt>
                <c:pt idx="142">
                  <c:v>guidev_clear.o</c:v>
                </c:pt>
                <c:pt idx="143">
                  <c:v>lcd_selectlcd.o</c:v>
                </c:pt>
                <c:pt idx="144">
                  <c:v>btim.o</c:v>
                </c:pt>
                <c:pt idx="145">
                  <c:v>strlen.o</c:v>
                </c:pt>
                <c:pt idx="146">
                  <c:v>wm_setcapture.o</c:v>
                </c:pt>
                <c:pt idx="147">
                  <c:v>guicc_8888.o</c:v>
                </c:pt>
                <c:pt idx="148">
                  <c:v>guidev_reduceysize.o</c:v>
                </c:pt>
                <c:pt idx="149">
                  <c:v>guiconf.o</c:v>
                </c:pt>
                <c:pt idx="150">
                  <c:v>__scatter.o</c:v>
                </c:pt>
                <c:pt idx="151">
                  <c:v>guidev_getysize.o</c:v>
                </c:pt>
                <c:pt idx="152">
                  <c:v>m_wm.l</c:v>
                </c:pt>
                <c:pt idx="153">
                  <c:v>fpclassify.o</c:v>
                </c:pt>
                <c:pt idx="154">
                  <c:v>_printf_char_common.o</c:v>
                </c:pt>
                <c:pt idx="155">
                  <c:v>lcd_setcliprectex.o</c:v>
                </c:pt>
                <c:pt idx="156">
                  <c:v>dflt_clz.o</c:v>
                </c:pt>
                <c:pt idx="157">
                  <c:v>system_stm32f4xx.o</c:v>
                </c:pt>
                <c:pt idx="158">
                  <c:v>_printf_wchar.o</c:v>
                </c:pt>
                <c:pt idx="159">
                  <c:v>_printf_char.o</c:v>
                </c:pt>
                <c:pt idx="160">
                  <c:v>gui_draw.o</c:v>
                </c:pt>
                <c:pt idx="161">
                  <c:v>_printf_charcount.o</c:v>
                </c:pt>
                <c:pt idx="162">
                  <c:v>guidev_getdataptr.o</c:v>
                </c:pt>
                <c:pt idx="163">
                  <c:v>_printf_truncate.o</c:v>
                </c:pt>
                <c:pt idx="164">
                  <c:v>_printf_char_file.o</c:v>
                </c:pt>
                <c:pt idx="165">
                  <c:v>lcd_updatecolorindices.o</c:v>
                </c:pt>
                <c:pt idx="166">
                  <c:v>gui_setalpha.o</c:v>
                </c:pt>
                <c:pt idx="167">
                  <c:v>libinit2.o</c:v>
                </c:pt>
                <c:pt idx="168">
                  <c:v>gui_uc_encodenone.o</c:v>
                </c:pt>
                <c:pt idx="169">
                  <c:v>lcd_getcolorindex.o</c:v>
                </c:pt>
                <c:pt idx="170">
                  <c:v>gui_encext.o</c:v>
                </c:pt>
                <c:pt idx="171">
                  <c:v>__scatter_zi.o</c:v>
                </c:pt>
                <c:pt idx="172">
                  <c:v>gui_waitevent.o</c:v>
                </c:pt>
                <c:pt idx="173">
                  <c:v>fpinit.o</c:v>
                </c:pt>
                <c:pt idx="174">
                  <c:v>lcd_getnumdisplays.o</c:v>
                </c:pt>
                <c:pt idx="175">
                  <c:v>printf.o</c:v>
                </c:pt>
                <c:pt idx="176">
                  <c:v>wm_pid__getprevstate.o</c:v>
                </c:pt>
                <c:pt idx="177">
                  <c:v>memset.o</c:v>
                </c:pt>
                <c:pt idx="178">
                  <c:v>stm32f4xx_it.o</c:v>
                </c:pt>
                <c:pt idx="179">
                  <c:v>exit.o</c:v>
                </c:pt>
                <c:pt idx="180">
                  <c:v>rt_ctype_table.o</c:v>
                </c:pt>
                <c:pt idx="181">
                  <c:v>aeabi_memset4.o</c:v>
                </c:pt>
                <c:pt idx="182">
                  <c:v>aeabi_memset.o</c:v>
                </c:pt>
                <c:pt idx="183">
                  <c:v>stm32f4xx_hal_tim_ex.o</c:v>
                </c:pt>
                <c:pt idx="184">
                  <c:v>__printf_wp.o</c:v>
                </c:pt>
                <c:pt idx="185">
                  <c:v>dretinf.o</c:v>
                </c:pt>
                <c:pt idx="186">
                  <c:v>__rtentry2.o</c:v>
                </c:pt>
                <c:pt idx="187">
                  <c:v>gui_touch_storestate.o</c:v>
                </c:pt>
                <c:pt idx="188">
                  <c:v>rtexit2.o</c:v>
                </c:pt>
                <c:pt idx="189">
                  <c:v>_printf_ll.o</c:v>
                </c:pt>
                <c:pt idx="190">
                  <c:v>_printf_l.o</c:v>
                </c:pt>
                <c:pt idx="191">
                  <c:v>rt_locale_intlibspace.o</c:v>
                </c:pt>
                <c:pt idx="192">
                  <c:v>memcpy.o</c:v>
                </c:pt>
                <c:pt idx="193">
                  <c:v>libspace.o</c:v>
                </c:pt>
                <c:pt idx="194">
                  <c:v>ferror.o</c:v>
                </c:pt>
                <c:pt idx="195">
                  <c:v>__main.o</c:v>
                </c:pt>
                <c:pt idx="196">
                  <c:v>heapauxi.o</c:v>
                </c:pt>
                <c:pt idx="197">
                  <c:v>_printf_x.o</c:v>
                </c:pt>
                <c:pt idx="198">
                  <c:v>_printf_u.o</c:v>
                </c:pt>
                <c:pt idx="199">
                  <c:v>_printf_s.o</c:v>
                </c:pt>
                <c:pt idx="200">
                  <c:v>_printf_p.o</c:v>
                </c:pt>
                <c:pt idx="201">
                  <c:v>_printf_o.o</c:v>
                </c:pt>
                <c:pt idx="202">
                  <c:v>_printf_n.o</c:v>
                </c:pt>
                <c:pt idx="203">
                  <c:v>_printf_ls.o</c:v>
                </c:pt>
                <c:pt idx="204">
                  <c:v>_printf_llx.o</c:v>
                </c:pt>
                <c:pt idx="205">
                  <c:v>_printf_llu.o</c:v>
                </c:pt>
                <c:pt idx="206">
                  <c:v>_printf_llo.o</c:v>
                </c:pt>
                <c:pt idx="207">
                  <c:v>_printf_lli.o</c:v>
                </c:pt>
                <c:pt idx="208">
                  <c:v>_printf_lld.o</c:v>
                </c:pt>
                <c:pt idx="209">
                  <c:v>_printf_lc.o</c:v>
                </c:pt>
                <c:pt idx="210">
                  <c:v>_printf_i.o</c:v>
                </c:pt>
                <c:pt idx="211">
                  <c:v>_printf_g.o</c:v>
                </c:pt>
                <c:pt idx="212">
                  <c:v>_printf_f.o</c:v>
                </c:pt>
                <c:pt idx="213">
                  <c:v>_printf_e.o</c:v>
                </c:pt>
                <c:pt idx="214">
                  <c:v>_printf_d.o</c:v>
                </c:pt>
                <c:pt idx="215">
                  <c:v>_printf_c.o</c:v>
                </c:pt>
                <c:pt idx="216">
                  <c:v>_printf_a.o</c:v>
                </c:pt>
                <c:pt idx="217">
                  <c:v>__rtentry4.o</c:v>
                </c:pt>
                <c:pt idx="218">
                  <c:v>printf2.o</c:v>
                </c:pt>
                <c:pt idx="219">
                  <c:v>printf1.o</c:v>
                </c:pt>
                <c:pt idx="220">
                  <c:v>_printf_percent_end.o</c:v>
                </c:pt>
                <c:pt idx="221">
                  <c:v>use_no_semi_2.o</c:v>
                </c:pt>
                <c:pt idx="222">
                  <c:v>use_no_semi.o</c:v>
                </c:pt>
                <c:pt idx="223">
                  <c:v>rtexit.o</c:v>
                </c:pt>
                <c:pt idx="224">
                  <c:v>libshutdown2.o</c:v>
                </c:pt>
                <c:pt idx="225">
                  <c:v>libshutdown.o</c:v>
                </c:pt>
                <c:pt idx="226">
                  <c:v>libinit.o</c:v>
                </c:pt>
                <c:pt idx="227">
                  <c:v>guicc_8888_index2color.o</c:v>
                </c:pt>
                <c:pt idx="228">
                  <c:v>Totals</c:v>
                </c:pt>
              </c:strCache>
            </c:strRef>
          </c:cat>
          <c:val>
            <c:numRef>
              <c:f>flash_percent!$B$3:$B$231</c:f>
              <c:numCache>
                <c:formatCode>General</c:formatCode>
                <c:ptCount val="229"/>
                <c:pt idx="0">
                  <c:v>30.13207626342773</c:v>
                </c:pt>
                <c:pt idx="1">
                  <c:v>9.021065711975098</c:v>
                </c:pt>
                <c:pt idx="2">
                  <c:v>5.128902435302734</c:v>
                </c:pt>
                <c:pt idx="3">
                  <c:v>3.679995059967041</c:v>
                </c:pt>
                <c:pt idx="4">
                  <c:v>2.999969720840454</c:v>
                </c:pt>
                <c:pt idx="5">
                  <c:v>2.142230987548828</c:v>
                </c:pt>
                <c:pt idx="6">
                  <c:v>2.086015701293945</c:v>
                </c:pt>
                <c:pt idx="7">
                  <c:v>1.599419713020325</c:v>
                </c:pt>
                <c:pt idx="8">
                  <c:v>1.518421173095703</c:v>
                </c:pt>
                <c:pt idx="9">
                  <c:v>1.471272706985474</c:v>
                </c:pt>
                <c:pt idx="10">
                  <c:v>1.302626371383667</c:v>
                </c:pt>
                <c:pt idx="11">
                  <c:v>1.285096883773804</c:v>
                </c:pt>
                <c:pt idx="12">
                  <c:v>1.23673951625824</c:v>
                </c:pt>
                <c:pt idx="13">
                  <c:v>1.170248150825501</c:v>
                </c:pt>
                <c:pt idx="14">
                  <c:v>1.135189056396484</c:v>
                </c:pt>
                <c:pt idx="15">
                  <c:v>1.12551760673523</c:v>
                </c:pt>
                <c:pt idx="16">
                  <c:v>1.09771203994751</c:v>
                </c:pt>
                <c:pt idx="17">
                  <c:v>1.094085335731506</c:v>
                </c:pt>
                <c:pt idx="18">
                  <c:v>1.066279768943787</c:v>
                </c:pt>
                <c:pt idx="19">
                  <c:v>1.004624128341675</c:v>
                </c:pt>
                <c:pt idx="20">
                  <c:v>0.967751681804657</c:v>
                </c:pt>
                <c:pt idx="21">
                  <c:v>0.9514310956001282</c:v>
                </c:pt>
                <c:pt idx="22">
                  <c:v>0.8958200812339783</c:v>
                </c:pt>
                <c:pt idx="23">
                  <c:v>0.8371868133544922</c:v>
                </c:pt>
                <c:pt idx="24">
                  <c:v>0.7543748021125794</c:v>
                </c:pt>
                <c:pt idx="25">
                  <c:v>0.7108532190322876</c:v>
                </c:pt>
                <c:pt idx="26">
                  <c:v>0.6528244018554688</c:v>
                </c:pt>
                <c:pt idx="27">
                  <c:v>0.6358993053436279</c:v>
                </c:pt>
                <c:pt idx="28">
                  <c:v>0.632272481918335</c:v>
                </c:pt>
                <c:pt idx="29">
                  <c:v>0.559736430644989</c:v>
                </c:pt>
                <c:pt idx="30">
                  <c:v>0.5488560199737549</c:v>
                </c:pt>
                <c:pt idx="31">
                  <c:v>0.4872004091739655</c:v>
                </c:pt>
                <c:pt idx="32">
                  <c:v>0.4847825467586517</c:v>
                </c:pt>
                <c:pt idx="33">
                  <c:v>0.4303805232048035</c:v>
                </c:pt>
                <c:pt idx="34">
                  <c:v>0.4267536997795105</c:v>
                </c:pt>
                <c:pt idx="35">
                  <c:v>0.4128509759902954</c:v>
                </c:pt>
                <c:pt idx="36">
                  <c:v>0.4122464954853058</c:v>
                </c:pt>
                <c:pt idx="37">
                  <c:v>0.4025750160217285</c:v>
                </c:pt>
                <c:pt idx="38">
                  <c:v>0.4013660848140717</c:v>
                </c:pt>
                <c:pt idx="39">
                  <c:v>0.3675159513950348</c:v>
                </c:pt>
                <c:pt idx="40">
                  <c:v>0.3614712655544281</c:v>
                </c:pt>
                <c:pt idx="41">
                  <c:v>0.3463596105575562</c:v>
                </c:pt>
                <c:pt idx="42">
                  <c:v>0.3397104740142822</c:v>
                </c:pt>
                <c:pt idx="43">
                  <c:v>0.3227853775024414</c:v>
                </c:pt>
                <c:pt idx="44">
                  <c:v>0.317949652671814</c:v>
                </c:pt>
                <c:pt idx="45">
                  <c:v>0.3046513795852661</c:v>
                </c:pt>
                <c:pt idx="46">
                  <c:v>0.3034424483776093</c:v>
                </c:pt>
                <c:pt idx="47">
                  <c:v>0.3034424483776093</c:v>
                </c:pt>
                <c:pt idx="48">
                  <c:v>0.2986066937446594</c:v>
                </c:pt>
                <c:pt idx="49">
                  <c:v>0.2949799001216888</c:v>
                </c:pt>
                <c:pt idx="50">
                  <c:v>0.2913531064987183</c:v>
                </c:pt>
                <c:pt idx="51">
                  <c:v>0.2828905582427979</c:v>
                </c:pt>
                <c:pt idx="52">
                  <c:v>0.2780548334121704</c:v>
                </c:pt>
                <c:pt idx="53">
                  <c:v>0.2708012163639069</c:v>
                </c:pt>
                <c:pt idx="54">
                  <c:v>0.2659654915332794</c:v>
                </c:pt>
                <c:pt idx="55">
                  <c:v>0.2635476291179657</c:v>
                </c:pt>
                <c:pt idx="56">
                  <c:v>0.2562940120697022</c:v>
                </c:pt>
                <c:pt idx="57">
                  <c:v>0.2472270131111145</c:v>
                </c:pt>
                <c:pt idx="58">
                  <c:v>0.2466225475072861</c:v>
                </c:pt>
                <c:pt idx="59">
                  <c:v>0.2429957389831543</c:v>
                </c:pt>
                <c:pt idx="60">
                  <c:v>0.2381599992513657</c:v>
                </c:pt>
                <c:pt idx="61">
                  <c:v>0.2357421368360519</c:v>
                </c:pt>
                <c:pt idx="62">
                  <c:v>0.2272796034812927</c:v>
                </c:pt>
                <c:pt idx="63">
                  <c:v>0.2266751229763031</c:v>
                </c:pt>
                <c:pt idx="64">
                  <c:v>0.2260706573724747</c:v>
                </c:pt>
                <c:pt idx="65">
                  <c:v>0.2224438637495041</c:v>
                </c:pt>
                <c:pt idx="66">
                  <c:v>0.2218393981456757</c:v>
                </c:pt>
                <c:pt idx="67">
                  <c:v>0.2163991928100586</c:v>
                </c:pt>
                <c:pt idx="68">
                  <c:v>0.2151902616024017</c:v>
                </c:pt>
                <c:pt idx="69">
                  <c:v>0.2091455906629562</c:v>
                </c:pt>
                <c:pt idx="70">
                  <c:v>0.2055187821388245</c:v>
                </c:pt>
                <c:pt idx="71">
                  <c:v>0.2031009197235107</c:v>
                </c:pt>
                <c:pt idx="72">
                  <c:v>0.1946383714675903</c:v>
                </c:pt>
                <c:pt idx="73">
                  <c:v>0.1910115778446198</c:v>
                </c:pt>
                <c:pt idx="74">
                  <c:v>0.1910115778446198</c:v>
                </c:pt>
                <c:pt idx="75">
                  <c:v>0.1825490444898605</c:v>
                </c:pt>
                <c:pt idx="76">
                  <c:v>0.1825490444898605</c:v>
                </c:pt>
                <c:pt idx="77">
                  <c:v>0.1789222359657288</c:v>
                </c:pt>
                <c:pt idx="78">
                  <c:v>0.1777133047580719</c:v>
                </c:pt>
                <c:pt idx="79">
                  <c:v>0.1777133047580719</c:v>
                </c:pt>
                <c:pt idx="80">
                  <c:v>0.175295427441597</c:v>
                </c:pt>
                <c:pt idx="81">
                  <c:v>0.175295427441597</c:v>
                </c:pt>
                <c:pt idx="82">
                  <c:v>0.1668328940868378</c:v>
                </c:pt>
                <c:pt idx="83">
                  <c:v>0.1547435522079468</c:v>
                </c:pt>
                <c:pt idx="84">
                  <c:v>0.1547435522079468</c:v>
                </c:pt>
                <c:pt idx="85">
                  <c:v>0.1523256897926331</c:v>
                </c:pt>
                <c:pt idx="86">
                  <c:v>0.1499078124761581</c:v>
                </c:pt>
                <c:pt idx="87">
                  <c:v>0.1450720876455307</c:v>
                </c:pt>
                <c:pt idx="88">
                  <c:v>0.1426542103290558</c:v>
                </c:pt>
                <c:pt idx="89">
                  <c:v>0.1414452791213989</c:v>
                </c:pt>
                <c:pt idx="90">
                  <c:v>0.1354006081819534</c:v>
                </c:pt>
                <c:pt idx="91">
                  <c:v>0.1341916769742966</c:v>
                </c:pt>
                <c:pt idx="92">
                  <c:v>0.1329827457666397</c:v>
                </c:pt>
                <c:pt idx="93">
                  <c:v>0.1329827457666397</c:v>
                </c:pt>
                <c:pt idx="94">
                  <c:v>0.1311693340539932</c:v>
                </c:pt>
                <c:pt idx="95">
                  <c:v>0.1257291436195374</c:v>
                </c:pt>
                <c:pt idx="96">
                  <c:v>0.1184755340218544</c:v>
                </c:pt>
                <c:pt idx="97">
                  <c:v>0.1136398017406464</c:v>
                </c:pt>
                <c:pt idx="98">
                  <c:v>0.1124308630824089</c:v>
                </c:pt>
                <c:pt idx="99">
                  <c:v>0.1075951308012009</c:v>
                </c:pt>
                <c:pt idx="100">
                  <c:v>0.1063861921429634</c:v>
                </c:pt>
                <c:pt idx="101">
                  <c:v>0.1063861921429634</c:v>
                </c:pt>
                <c:pt idx="102">
                  <c:v>0.1039683222770691</c:v>
                </c:pt>
                <c:pt idx="103">
                  <c:v>0.09429685026407242</c:v>
                </c:pt>
                <c:pt idx="104">
                  <c:v>0.09429685026407242</c:v>
                </c:pt>
                <c:pt idx="105">
                  <c:v>0.08341644704341888</c:v>
                </c:pt>
                <c:pt idx="106">
                  <c:v>0.08341644704341888</c:v>
                </c:pt>
                <c:pt idx="107">
                  <c:v>0.08341644704341888</c:v>
                </c:pt>
                <c:pt idx="108">
                  <c:v>0.07978964596986771</c:v>
                </c:pt>
                <c:pt idx="109">
                  <c:v>0.07737177610397339</c:v>
                </c:pt>
                <c:pt idx="110">
                  <c:v>0.07495390623807907</c:v>
                </c:pt>
                <c:pt idx="111">
                  <c:v>0.07495390623807907</c:v>
                </c:pt>
                <c:pt idx="112">
                  <c:v>0.07495390623807907</c:v>
                </c:pt>
                <c:pt idx="113">
                  <c:v>0.07374497503042221</c:v>
                </c:pt>
                <c:pt idx="114">
                  <c:v>0.07253604382276535</c:v>
                </c:pt>
                <c:pt idx="115">
                  <c:v>0.07253604382276535</c:v>
                </c:pt>
                <c:pt idx="116">
                  <c:v>0.07253604382276535</c:v>
                </c:pt>
                <c:pt idx="117">
                  <c:v>0.07253604382276535</c:v>
                </c:pt>
                <c:pt idx="118">
                  <c:v>0.07132710516452789</c:v>
                </c:pt>
                <c:pt idx="119">
                  <c:v>0.07011817395687103</c:v>
                </c:pt>
                <c:pt idx="120">
                  <c:v>0.07011817395687103</c:v>
                </c:pt>
                <c:pt idx="121">
                  <c:v>0.06770030409097672</c:v>
                </c:pt>
                <c:pt idx="122">
                  <c:v>0.06165563687682152</c:v>
                </c:pt>
                <c:pt idx="123">
                  <c:v>0.06044670194387436</c:v>
                </c:pt>
                <c:pt idx="124">
                  <c:v>0.06044670194387436</c:v>
                </c:pt>
                <c:pt idx="125">
                  <c:v>0.05802883207798004</c:v>
                </c:pt>
                <c:pt idx="126">
                  <c:v>0.05681990087032318</c:v>
                </c:pt>
                <c:pt idx="127">
                  <c:v>0.05561096593737602</c:v>
                </c:pt>
                <c:pt idx="128">
                  <c:v>0.05440203100442886</c:v>
                </c:pt>
                <c:pt idx="129">
                  <c:v>0.05319309607148171</c:v>
                </c:pt>
                <c:pt idx="130">
                  <c:v>0.05319309607148171</c:v>
                </c:pt>
                <c:pt idx="131">
                  <c:v>0.05077522993087769</c:v>
                </c:pt>
                <c:pt idx="132">
                  <c:v>0.05077522993087769</c:v>
                </c:pt>
                <c:pt idx="133">
                  <c:v>0.04956629499793053</c:v>
                </c:pt>
                <c:pt idx="134">
                  <c:v>0.04714842513203621</c:v>
                </c:pt>
                <c:pt idx="135">
                  <c:v>0.04714842513203621</c:v>
                </c:pt>
                <c:pt idx="136">
                  <c:v>0.04473055899143219</c:v>
                </c:pt>
                <c:pt idx="137">
                  <c:v>0.04352162405848503</c:v>
                </c:pt>
                <c:pt idx="138">
                  <c:v>0.04352162405848503</c:v>
                </c:pt>
                <c:pt idx="139">
                  <c:v>0.04352162405848503</c:v>
                </c:pt>
                <c:pt idx="140">
                  <c:v>0.04352162405848503</c:v>
                </c:pt>
                <c:pt idx="141">
                  <c:v>0.04110375791788101</c:v>
                </c:pt>
                <c:pt idx="142">
                  <c:v>0.04110375791788101</c:v>
                </c:pt>
                <c:pt idx="143">
                  <c:v>0.03868588805198669</c:v>
                </c:pt>
                <c:pt idx="144">
                  <c:v>0.03868588805198669</c:v>
                </c:pt>
                <c:pt idx="145">
                  <c:v>0.03747695311903954</c:v>
                </c:pt>
                <c:pt idx="146">
                  <c:v>0.03747695311903954</c:v>
                </c:pt>
                <c:pt idx="147">
                  <c:v>0.03626802191138268</c:v>
                </c:pt>
                <c:pt idx="148">
                  <c:v>0.03385015204548836</c:v>
                </c:pt>
                <c:pt idx="149">
                  <c:v>0.03385015204548836</c:v>
                </c:pt>
                <c:pt idx="150">
                  <c:v>0.03143228590488434</c:v>
                </c:pt>
                <c:pt idx="151">
                  <c:v>0.03143228590488434</c:v>
                </c:pt>
                <c:pt idx="152">
                  <c:v>0.02901441603899002</c:v>
                </c:pt>
                <c:pt idx="153">
                  <c:v>0.02901441603899002</c:v>
                </c:pt>
                <c:pt idx="154">
                  <c:v>0.02901441603899002</c:v>
                </c:pt>
                <c:pt idx="155">
                  <c:v>0.02901441603899002</c:v>
                </c:pt>
                <c:pt idx="156">
                  <c:v>0.02780548296868801</c:v>
                </c:pt>
                <c:pt idx="157">
                  <c:v>0.02780548296868801</c:v>
                </c:pt>
                <c:pt idx="158">
                  <c:v>0.02659654803574085</c:v>
                </c:pt>
                <c:pt idx="159">
                  <c:v>0.02659654803574085</c:v>
                </c:pt>
                <c:pt idx="160">
                  <c:v>0.02659654803574085</c:v>
                </c:pt>
                <c:pt idx="161">
                  <c:v>0.02417868003249168</c:v>
                </c:pt>
                <c:pt idx="162">
                  <c:v>0.02417868003249168</c:v>
                </c:pt>
                <c:pt idx="163">
                  <c:v>0.02176081202924252</c:v>
                </c:pt>
                <c:pt idx="164">
                  <c:v>0.02176081202924252</c:v>
                </c:pt>
                <c:pt idx="165">
                  <c:v>0.02176081202924252</c:v>
                </c:pt>
                <c:pt idx="166">
                  <c:v>0.02176081202924252</c:v>
                </c:pt>
                <c:pt idx="167">
                  <c:v>0.02055187895894051</c:v>
                </c:pt>
                <c:pt idx="168">
                  <c:v>0.02055187895894051</c:v>
                </c:pt>
                <c:pt idx="169">
                  <c:v>0.01934294402599335</c:v>
                </c:pt>
                <c:pt idx="170">
                  <c:v>0.01934294402599335</c:v>
                </c:pt>
                <c:pt idx="171">
                  <c:v>0.01692507602274418</c:v>
                </c:pt>
                <c:pt idx="172">
                  <c:v>0.01692507602274418</c:v>
                </c:pt>
                <c:pt idx="173">
                  <c:v>0.01571614295244217</c:v>
                </c:pt>
                <c:pt idx="174">
                  <c:v>0.01571614295244217</c:v>
                </c:pt>
                <c:pt idx="175">
                  <c:v>0.01450720801949501</c:v>
                </c:pt>
                <c:pt idx="176">
                  <c:v>0.01450720801949501</c:v>
                </c:pt>
                <c:pt idx="177">
                  <c:v>0.01329827401787043</c:v>
                </c:pt>
                <c:pt idx="178">
                  <c:v>0.01208934001624584</c:v>
                </c:pt>
                <c:pt idx="179">
                  <c:v>0.01088040601462126</c:v>
                </c:pt>
                <c:pt idx="180">
                  <c:v>0.009671472012996674</c:v>
                </c:pt>
                <c:pt idx="181">
                  <c:v>0.009671472012996674</c:v>
                </c:pt>
                <c:pt idx="182">
                  <c:v>0.009671472012996674</c:v>
                </c:pt>
                <c:pt idx="183">
                  <c:v>0.009671472012996674</c:v>
                </c:pt>
                <c:pt idx="184">
                  <c:v>0.008462538011372089</c:v>
                </c:pt>
                <c:pt idx="185">
                  <c:v>0.007253604009747505</c:v>
                </c:pt>
                <c:pt idx="186">
                  <c:v>0.007253604009747505</c:v>
                </c:pt>
                <c:pt idx="187">
                  <c:v>0.007253604009747505</c:v>
                </c:pt>
                <c:pt idx="188">
                  <c:v>0.006044670008122921</c:v>
                </c:pt>
                <c:pt idx="189">
                  <c:v>0.006044670008122921</c:v>
                </c:pt>
                <c:pt idx="190">
                  <c:v>0.006044670008122921</c:v>
                </c:pt>
                <c:pt idx="191">
                  <c:v>0.004835736006498337</c:v>
                </c:pt>
                <c:pt idx="192">
                  <c:v>0.004835736006498337</c:v>
                </c:pt>
                <c:pt idx="193">
                  <c:v>0.004835736006498337</c:v>
                </c:pt>
                <c:pt idx="194">
                  <c:v>0.004835736006498337</c:v>
                </c:pt>
                <c:pt idx="195">
                  <c:v>0.004835736006498337</c:v>
                </c:pt>
                <c:pt idx="196">
                  <c:v>0.003626802004873753</c:v>
                </c:pt>
                <c:pt idx="197">
                  <c:v>0.003626802004873753</c:v>
                </c:pt>
                <c:pt idx="198">
                  <c:v>0.003626802004873753</c:v>
                </c:pt>
                <c:pt idx="199">
                  <c:v>0.003626802004873753</c:v>
                </c:pt>
                <c:pt idx="200">
                  <c:v>0.003626802004873753</c:v>
                </c:pt>
                <c:pt idx="201">
                  <c:v>0.003626802004873753</c:v>
                </c:pt>
                <c:pt idx="202">
                  <c:v>0.003626802004873753</c:v>
                </c:pt>
                <c:pt idx="203">
                  <c:v>0.003626802004873753</c:v>
                </c:pt>
                <c:pt idx="204">
                  <c:v>0.003626802004873753</c:v>
                </c:pt>
                <c:pt idx="205">
                  <c:v>0.003626802004873753</c:v>
                </c:pt>
                <c:pt idx="206">
                  <c:v>0.003626802004873753</c:v>
                </c:pt>
                <c:pt idx="207">
                  <c:v>0.003626802004873753</c:v>
                </c:pt>
                <c:pt idx="208">
                  <c:v>0.003626802004873753</c:v>
                </c:pt>
                <c:pt idx="209">
                  <c:v>0.003626802004873753</c:v>
                </c:pt>
                <c:pt idx="210">
                  <c:v>0.003626802004873753</c:v>
                </c:pt>
                <c:pt idx="211">
                  <c:v>0.003626802004873753</c:v>
                </c:pt>
                <c:pt idx="212">
                  <c:v>0.003626802004873753</c:v>
                </c:pt>
                <c:pt idx="213">
                  <c:v>0.003626802004873753</c:v>
                </c:pt>
                <c:pt idx="214">
                  <c:v>0.003626802004873753</c:v>
                </c:pt>
                <c:pt idx="215">
                  <c:v>0.003626802004873753</c:v>
                </c:pt>
                <c:pt idx="216">
                  <c:v>0.003626802004873753</c:v>
                </c:pt>
                <c:pt idx="217">
                  <c:v>0.003626802004873753</c:v>
                </c:pt>
                <c:pt idx="218">
                  <c:v>0.002417868003249168</c:v>
                </c:pt>
                <c:pt idx="219">
                  <c:v>0.002417868003249168</c:v>
                </c:pt>
                <c:pt idx="220">
                  <c:v>0.002417868003249168</c:v>
                </c:pt>
                <c:pt idx="221">
                  <c:v>0.001208934001624584</c:v>
                </c:pt>
                <c:pt idx="222">
                  <c:v>0.001208934001624584</c:v>
                </c:pt>
                <c:pt idx="223">
                  <c:v>0.001208934001624584</c:v>
                </c:pt>
                <c:pt idx="224">
                  <c:v>0.001208934001624584</c:v>
                </c:pt>
                <c:pt idx="225">
                  <c:v>0.001208934001624584</c:v>
                </c:pt>
                <c:pt idx="226">
                  <c:v>0.001208934001624584</c:v>
                </c:pt>
                <c:pt idx="227">
                  <c:v>0.001208934001624584</c:v>
                </c:pt>
                <c:pt idx="22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231" totalsRowCount="1">
  <autoFilter ref="A2:H23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231" totalsRowCount="1">
  <autoFilter ref="A2:H23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228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</row>
    <row r="3" spans="1:8">
      <c r="A3" s="1" t="s">
        <v>1</v>
      </c>
      <c r="B3" s="2">
        <v>76.88113403320313</v>
      </c>
      <c r="C3" s="1">
        <v>54428</v>
      </c>
      <c r="D3" s="1">
        <v>302</v>
      </c>
      <c r="E3" s="1">
        <v>258</v>
      </c>
      <c r="F3" s="1">
        <v>16</v>
      </c>
      <c r="G3" s="1">
        <v>28</v>
      </c>
      <c r="H3" s="1">
        <v>54400</v>
      </c>
    </row>
    <row r="4" spans="1:8">
      <c r="A4" s="1" t="s">
        <v>2</v>
      </c>
      <c r="B4" s="2">
        <v>14.50384902954102</v>
      </c>
      <c r="C4" s="1">
        <v>10268</v>
      </c>
      <c r="D4" s="1">
        <v>1601</v>
      </c>
      <c r="E4" s="1">
        <v>1548</v>
      </c>
      <c r="F4" s="1">
        <v>53</v>
      </c>
      <c r="G4" s="1">
        <v>0</v>
      </c>
      <c r="H4" s="1">
        <v>10268</v>
      </c>
    </row>
    <row r="5" spans="1:8">
      <c r="A5" s="1" t="s">
        <v>3</v>
      </c>
      <c r="B5" s="2">
        <v>2.274171829223633</v>
      </c>
      <c r="C5" s="1">
        <v>1610</v>
      </c>
      <c r="D5" s="1">
        <v>49849</v>
      </c>
      <c r="E5" s="1">
        <v>41626</v>
      </c>
      <c r="F5" s="1">
        <v>7321</v>
      </c>
      <c r="G5" s="1">
        <v>902</v>
      </c>
      <c r="H5" s="1">
        <v>708</v>
      </c>
    </row>
    <row r="6" spans="1:8">
      <c r="A6" s="1" t="s">
        <v>4</v>
      </c>
      <c r="B6" s="2">
        <v>1.44642984867096</v>
      </c>
      <c r="C6" s="1">
        <v>1024</v>
      </c>
      <c r="D6" s="1">
        <v>468</v>
      </c>
      <c r="E6" s="1">
        <v>76</v>
      </c>
      <c r="F6" s="1">
        <v>392</v>
      </c>
      <c r="G6" s="1">
        <v>0</v>
      </c>
      <c r="H6" s="1">
        <v>1024</v>
      </c>
    </row>
    <row r="7" spans="1:8">
      <c r="A7" s="1" t="s">
        <v>5</v>
      </c>
      <c r="B7" s="2">
        <v>1.13002336025238</v>
      </c>
      <c r="C7" s="1">
        <v>800</v>
      </c>
      <c r="D7" s="1">
        <v>6088</v>
      </c>
      <c r="E7" s="1">
        <v>6044</v>
      </c>
      <c r="F7" s="1">
        <v>44</v>
      </c>
      <c r="G7" s="1">
        <v>0</v>
      </c>
      <c r="H7" s="1">
        <v>800</v>
      </c>
    </row>
    <row r="8" spans="1:8">
      <c r="A8" s="1" t="s">
        <v>6</v>
      </c>
      <c r="B8" s="2">
        <v>0.501447856426239</v>
      </c>
      <c r="C8" s="1">
        <v>355</v>
      </c>
      <c r="D8" s="1">
        <v>598</v>
      </c>
      <c r="E8" s="1">
        <v>598</v>
      </c>
      <c r="F8" s="1">
        <v>0</v>
      </c>
      <c r="G8" s="1">
        <v>0</v>
      </c>
      <c r="H8" s="1">
        <v>355</v>
      </c>
    </row>
    <row r="9" spans="1:8">
      <c r="A9" s="1" t="s">
        <v>7</v>
      </c>
      <c r="B9" s="2">
        <v>0.3375944495201111</v>
      </c>
      <c r="C9" s="1">
        <v>239</v>
      </c>
      <c r="D9" s="1">
        <v>683</v>
      </c>
      <c r="E9" s="1">
        <v>548</v>
      </c>
      <c r="F9" s="1">
        <v>8</v>
      </c>
      <c r="G9" s="1">
        <v>127</v>
      </c>
      <c r="H9" s="1">
        <v>112</v>
      </c>
    </row>
    <row r="10" spans="1:8">
      <c r="A10" s="1" t="s">
        <v>8</v>
      </c>
      <c r="B10" s="2">
        <v>0.2938060462474823</v>
      </c>
      <c r="C10" s="1">
        <v>208</v>
      </c>
      <c r="D10" s="1">
        <v>1662</v>
      </c>
      <c r="E10" s="1">
        <v>1658</v>
      </c>
      <c r="F10" s="1">
        <v>0</v>
      </c>
      <c r="G10" s="1">
        <v>4</v>
      </c>
      <c r="H10" s="1">
        <v>204</v>
      </c>
    </row>
    <row r="11" spans="1:8">
      <c r="A11" s="1" t="s">
        <v>9</v>
      </c>
      <c r="B11" s="2">
        <v>0.1878663748502731</v>
      </c>
      <c r="C11" s="1">
        <v>133</v>
      </c>
      <c r="D11" s="1">
        <v>4963</v>
      </c>
      <c r="E11" s="1">
        <v>4854</v>
      </c>
      <c r="F11" s="1">
        <v>0</v>
      </c>
      <c r="G11" s="1">
        <v>109</v>
      </c>
      <c r="H11" s="1">
        <v>24</v>
      </c>
    </row>
    <row r="12" spans="1:8">
      <c r="A12" s="1" t="s">
        <v>10</v>
      </c>
      <c r="B12" s="2">
        <v>0.1808037310838699</v>
      </c>
      <c r="C12" s="1">
        <v>128</v>
      </c>
      <c r="D12" s="1">
        <v>712</v>
      </c>
      <c r="E12" s="1">
        <v>568</v>
      </c>
      <c r="F12" s="1">
        <v>16</v>
      </c>
      <c r="G12" s="1">
        <v>128</v>
      </c>
      <c r="H12" s="1">
        <v>0</v>
      </c>
    </row>
    <row r="13" spans="1:8">
      <c r="A13" s="1" t="s">
        <v>11</v>
      </c>
      <c r="B13" s="2">
        <v>0.1469030231237412</v>
      </c>
      <c r="C13" s="1">
        <v>104</v>
      </c>
      <c r="D13" s="1">
        <v>368</v>
      </c>
      <c r="E13" s="1">
        <v>336</v>
      </c>
      <c r="F13" s="1">
        <v>0</v>
      </c>
      <c r="G13" s="1">
        <v>32</v>
      </c>
      <c r="H13" s="1">
        <v>72</v>
      </c>
    </row>
    <row r="14" spans="1:8">
      <c r="A14" s="1" t="s">
        <v>12</v>
      </c>
      <c r="B14" s="2">
        <v>0.1469030231237412</v>
      </c>
      <c r="C14" s="1">
        <v>104</v>
      </c>
      <c r="D14" s="1">
        <v>118</v>
      </c>
      <c r="E14" s="1">
        <v>102</v>
      </c>
      <c r="F14" s="1">
        <v>0</v>
      </c>
      <c r="G14" s="1">
        <v>16</v>
      </c>
      <c r="H14" s="1">
        <v>88</v>
      </c>
    </row>
    <row r="15" spans="1:8">
      <c r="A15" s="1" t="s">
        <v>13</v>
      </c>
      <c r="B15" s="2">
        <v>0.1356028020381928</v>
      </c>
      <c r="C15" s="1">
        <v>96</v>
      </c>
      <c r="D15" s="1">
        <v>8485</v>
      </c>
      <c r="E15" s="1">
        <v>7934</v>
      </c>
      <c r="F15" s="1">
        <v>551</v>
      </c>
      <c r="G15" s="1">
        <v>0</v>
      </c>
      <c r="H15" s="1">
        <v>96</v>
      </c>
    </row>
    <row r="16" spans="1:8">
      <c r="A16" s="1" t="s">
        <v>14</v>
      </c>
      <c r="B16" s="2">
        <v>0.1356028020381928</v>
      </c>
      <c r="C16" s="1">
        <v>96</v>
      </c>
      <c r="D16" s="1">
        <v>8</v>
      </c>
      <c r="E16" s="1">
        <v>8</v>
      </c>
      <c r="F16" s="1">
        <v>0</v>
      </c>
      <c r="G16" s="1">
        <v>0</v>
      </c>
      <c r="H16" s="1">
        <v>96</v>
      </c>
    </row>
    <row r="17" spans="1:8">
      <c r="A17" s="1" t="s">
        <v>15</v>
      </c>
      <c r="B17" s="2">
        <v>0.1356028020381928</v>
      </c>
      <c r="C17" s="1">
        <v>96</v>
      </c>
      <c r="D17" s="1">
        <v>1176</v>
      </c>
      <c r="E17" s="1">
        <v>1152</v>
      </c>
      <c r="F17" s="1">
        <v>0</v>
      </c>
      <c r="G17" s="1">
        <v>24</v>
      </c>
      <c r="H17" s="1">
        <v>72</v>
      </c>
    </row>
    <row r="18" spans="1:8">
      <c r="A18" s="1" t="s">
        <v>16</v>
      </c>
      <c r="B18" s="2">
        <v>0.1327777355909348</v>
      </c>
      <c r="C18" s="1">
        <v>94</v>
      </c>
      <c r="D18" s="1">
        <v>14924</v>
      </c>
      <c r="E18" s="1">
        <v>14912</v>
      </c>
      <c r="F18" s="1">
        <v>12</v>
      </c>
      <c r="G18" s="1">
        <v>0</v>
      </c>
      <c r="H18" s="1">
        <v>94</v>
      </c>
    </row>
    <row r="19" spans="1:8">
      <c r="A19" s="1" t="s">
        <v>17</v>
      </c>
      <c r="B19" s="2">
        <v>0.1130023300647736</v>
      </c>
      <c r="C19" s="1">
        <v>80</v>
      </c>
      <c r="D19" s="1">
        <v>526</v>
      </c>
      <c r="E19" s="1">
        <v>526</v>
      </c>
      <c r="F19" s="1">
        <v>0</v>
      </c>
      <c r="G19" s="1">
        <v>0</v>
      </c>
      <c r="H19" s="1">
        <v>80</v>
      </c>
    </row>
    <row r="20" spans="1:8">
      <c r="A20" s="1" t="s">
        <v>18</v>
      </c>
      <c r="B20" s="2">
        <v>0.101702094078064</v>
      </c>
      <c r="C20" s="1">
        <v>72</v>
      </c>
      <c r="D20" s="1">
        <v>1810</v>
      </c>
      <c r="E20" s="1">
        <v>1738</v>
      </c>
      <c r="F20" s="1">
        <v>0</v>
      </c>
      <c r="G20" s="1">
        <v>72</v>
      </c>
      <c r="H20" s="1">
        <v>0</v>
      </c>
    </row>
    <row r="21" spans="1:8">
      <c r="A21" s="1" t="s">
        <v>19</v>
      </c>
      <c r="B21" s="2">
        <v>0.101702094078064</v>
      </c>
      <c r="C21" s="1">
        <v>72</v>
      </c>
      <c r="D21" s="1">
        <v>64</v>
      </c>
      <c r="E21" s="1">
        <v>64</v>
      </c>
      <c r="F21" s="1">
        <v>0</v>
      </c>
      <c r="G21" s="1">
        <v>0</v>
      </c>
      <c r="H21" s="1">
        <v>72</v>
      </c>
    </row>
    <row r="22" spans="1:8">
      <c r="A22" s="1" t="s">
        <v>20</v>
      </c>
      <c r="B22" s="2">
        <v>0.09040186554193497</v>
      </c>
      <c r="C22" s="1">
        <v>64</v>
      </c>
      <c r="D22" s="1">
        <v>120</v>
      </c>
      <c r="E22" s="1">
        <v>120</v>
      </c>
      <c r="F22" s="1">
        <v>0</v>
      </c>
      <c r="G22" s="1">
        <v>0</v>
      </c>
      <c r="H22" s="1">
        <v>64</v>
      </c>
    </row>
    <row r="23" spans="1:8">
      <c r="A23" s="1" t="s">
        <v>21</v>
      </c>
      <c r="B23" s="2">
        <v>0.09040186554193497</v>
      </c>
      <c r="C23" s="1">
        <v>64</v>
      </c>
      <c r="D23" s="1">
        <v>3451</v>
      </c>
      <c r="E23" s="1">
        <v>3400</v>
      </c>
      <c r="F23" s="1">
        <v>51</v>
      </c>
      <c r="G23" s="1">
        <v>0</v>
      </c>
      <c r="H23" s="1">
        <v>64</v>
      </c>
    </row>
    <row r="24" spans="1:8">
      <c r="A24" s="1" t="s">
        <v>22</v>
      </c>
      <c r="B24" s="2">
        <v>0.08475174754858017</v>
      </c>
      <c r="C24" s="1">
        <v>60</v>
      </c>
      <c r="D24" s="1">
        <v>926</v>
      </c>
      <c r="E24" s="1">
        <v>866</v>
      </c>
      <c r="F24" s="1">
        <v>0</v>
      </c>
      <c r="G24" s="1">
        <v>60</v>
      </c>
      <c r="H24" s="1">
        <v>0</v>
      </c>
    </row>
    <row r="25" spans="1:8">
      <c r="A25" s="1" t="s">
        <v>23</v>
      </c>
      <c r="B25" s="2">
        <v>0.08475174754858017</v>
      </c>
      <c r="C25" s="1">
        <v>60</v>
      </c>
      <c r="D25" s="1">
        <v>1385</v>
      </c>
      <c r="E25" s="1">
        <v>1336</v>
      </c>
      <c r="F25" s="1">
        <v>49</v>
      </c>
      <c r="G25" s="1">
        <v>0</v>
      </c>
      <c r="H25" s="1">
        <v>60</v>
      </c>
    </row>
    <row r="26" spans="1:8">
      <c r="A26" s="1" t="s">
        <v>24</v>
      </c>
      <c r="B26" s="2">
        <v>0.07910162955522537</v>
      </c>
      <c r="C26" s="1">
        <v>56</v>
      </c>
      <c r="D26" s="1">
        <v>424</v>
      </c>
      <c r="E26" s="1">
        <v>368</v>
      </c>
      <c r="F26" s="1">
        <v>0</v>
      </c>
      <c r="G26" s="1">
        <v>56</v>
      </c>
      <c r="H26" s="1">
        <v>0</v>
      </c>
    </row>
    <row r="27" spans="1:8">
      <c r="A27" s="1" t="s">
        <v>25</v>
      </c>
      <c r="B27" s="2">
        <v>0.07345151156187058</v>
      </c>
      <c r="C27" s="1">
        <v>52</v>
      </c>
      <c r="D27" s="1">
        <v>1574</v>
      </c>
      <c r="E27" s="1">
        <v>1546</v>
      </c>
      <c r="F27" s="1">
        <v>0</v>
      </c>
      <c r="G27" s="1">
        <v>28</v>
      </c>
      <c r="H27" s="1">
        <v>24</v>
      </c>
    </row>
    <row r="28" spans="1:8">
      <c r="A28" s="1" t="s">
        <v>26</v>
      </c>
      <c r="B28" s="2">
        <v>0.06780140101909638</v>
      </c>
      <c r="C28" s="1">
        <v>48</v>
      </c>
      <c r="D28" s="1">
        <v>908</v>
      </c>
      <c r="E28" s="1">
        <v>860</v>
      </c>
      <c r="F28" s="1">
        <v>0</v>
      </c>
      <c r="G28" s="1">
        <v>48</v>
      </c>
      <c r="H28" s="1">
        <v>0</v>
      </c>
    </row>
    <row r="29" spans="1:8">
      <c r="A29" s="1" t="s">
        <v>27</v>
      </c>
      <c r="B29" s="2">
        <v>0.06215128302574158</v>
      </c>
      <c r="C29" s="1">
        <v>44</v>
      </c>
      <c r="D29" s="1">
        <v>276</v>
      </c>
      <c r="E29" s="1">
        <v>232</v>
      </c>
      <c r="F29" s="1">
        <v>0</v>
      </c>
      <c r="G29" s="1">
        <v>44</v>
      </c>
      <c r="H29" s="1">
        <v>0</v>
      </c>
    </row>
    <row r="30" spans="1:8">
      <c r="A30" s="1" t="s">
        <v>28</v>
      </c>
      <c r="B30" s="2">
        <v>0.03955081477761269</v>
      </c>
      <c r="C30" s="1">
        <v>28</v>
      </c>
      <c r="D30" s="1">
        <v>408</v>
      </c>
      <c r="E30" s="1">
        <v>380</v>
      </c>
      <c r="F30" s="1">
        <v>0</v>
      </c>
      <c r="G30" s="1">
        <v>28</v>
      </c>
      <c r="H30" s="1">
        <v>0</v>
      </c>
    </row>
    <row r="31" spans="1:8">
      <c r="A31" s="1" t="s">
        <v>29</v>
      </c>
      <c r="B31" s="2">
        <v>0.03390070050954819</v>
      </c>
      <c r="C31" s="1">
        <v>24</v>
      </c>
      <c r="D31" s="1">
        <v>24</v>
      </c>
      <c r="E31" s="1">
        <v>24</v>
      </c>
      <c r="F31" s="1">
        <v>0</v>
      </c>
      <c r="G31" s="1">
        <v>0</v>
      </c>
      <c r="H31" s="1">
        <v>24</v>
      </c>
    </row>
    <row r="32" spans="1:8">
      <c r="A32" s="1" t="s">
        <v>30</v>
      </c>
      <c r="B32" s="2">
        <v>0.03390070050954819</v>
      </c>
      <c r="C32" s="1">
        <v>24</v>
      </c>
      <c r="D32" s="1">
        <v>120</v>
      </c>
      <c r="E32" s="1">
        <v>96</v>
      </c>
      <c r="F32" s="1">
        <v>0</v>
      </c>
      <c r="G32" s="1">
        <v>24</v>
      </c>
      <c r="H32" s="1">
        <v>0</v>
      </c>
    </row>
    <row r="33" spans="1:8">
      <c r="A33" s="1" t="s">
        <v>31</v>
      </c>
      <c r="B33" s="2">
        <v>0.03390070050954819</v>
      </c>
      <c r="C33" s="1">
        <v>24</v>
      </c>
      <c r="D33" s="1">
        <v>252</v>
      </c>
      <c r="E33" s="1">
        <v>228</v>
      </c>
      <c r="F33" s="1">
        <v>0</v>
      </c>
      <c r="G33" s="1">
        <v>24</v>
      </c>
      <c r="H33" s="1">
        <v>0</v>
      </c>
    </row>
    <row r="34" spans="1:8">
      <c r="A34" s="1" t="s">
        <v>32</v>
      </c>
      <c r="B34" s="2">
        <v>0.02825058251619339</v>
      </c>
      <c r="C34" s="1">
        <v>20</v>
      </c>
      <c r="D34" s="1">
        <v>316</v>
      </c>
      <c r="E34" s="1">
        <v>296</v>
      </c>
      <c r="F34" s="1">
        <v>0</v>
      </c>
      <c r="G34" s="1">
        <v>20</v>
      </c>
      <c r="H34" s="1">
        <v>0</v>
      </c>
    </row>
    <row r="35" spans="1:8">
      <c r="A35" s="1" t="s">
        <v>33</v>
      </c>
      <c r="B35" s="2">
        <v>0.02825058251619339</v>
      </c>
      <c r="C35" s="1">
        <v>20</v>
      </c>
      <c r="D35" s="1">
        <v>374</v>
      </c>
      <c r="E35" s="1">
        <v>354</v>
      </c>
      <c r="F35" s="1">
        <v>0</v>
      </c>
      <c r="G35" s="1">
        <v>20</v>
      </c>
      <c r="H35" s="1">
        <v>0</v>
      </c>
    </row>
    <row r="36" spans="1:8">
      <c r="A36" s="1" t="s">
        <v>34</v>
      </c>
      <c r="B36" s="2">
        <v>0.02825058251619339</v>
      </c>
      <c r="C36" s="1">
        <v>20</v>
      </c>
      <c r="D36" s="1">
        <v>502</v>
      </c>
      <c r="E36" s="1">
        <v>482</v>
      </c>
      <c r="F36" s="1">
        <v>0</v>
      </c>
      <c r="G36" s="1">
        <v>20</v>
      </c>
      <c r="H36" s="1">
        <v>0</v>
      </c>
    </row>
    <row r="37" spans="1:8">
      <c r="A37" s="1" t="s">
        <v>35</v>
      </c>
      <c r="B37" s="2">
        <v>0.02260046638548374</v>
      </c>
      <c r="C37" s="1">
        <v>16</v>
      </c>
      <c r="D37" s="1">
        <v>88</v>
      </c>
      <c r="E37" s="1">
        <v>84</v>
      </c>
      <c r="F37" s="1">
        <v>0</v>
      </c>
      <c r="G37" s="1">
        <v>4</v>
      </c>
      <c r="H37" s="1">
        <v>12</v>
      </c>
    </row>
    <row r="38" spans="1:8">
      <c r="A38" s="1" t="s">
        <v>36</v>
      </c>
      <c r="B38" s="2">
        <v>0.02260046638548374</v>
      </c>
      <c r="C38" s="1">
        <v>16</v>
      </c>
      <c r="D38" s="1">
        <v>375</v>
      </c>
      <c r="E38" s="1">
        <v>342</v>
      </c>
      <c r="F38" s="1">
        <v>33</v>
      </c>
      <c r="G38" s="1">
        <v>0</v>
      </c>
      <c r="H38" s="1">
        <v>16</v>
      </c>
    </row>
    <row r="39" spans="1:8">
      <c r="A39" s="1" t="s">
        <v>37</v>
      </c>
      <c r="B39" s="2">
        <v>0.01695035025477409</v>
      </c>
      <c r="C39" s="1">
        <v>12</v>
      </c>
      <c r="D39" s="1">
        <v>28</v>
      </c>
      <c r="E39" s="1">
        <v>16</v>
      </c>
      <c r="F39" s="1">
        <v>0</v>
      </c>
      <c r="G39" s="1">
        <v>12</v>
      </c>
      <c r="H39" s="1">
        <v>0</v>
      </c>
    </row>
    <row r="40" spans="1:8">
      <c r="A40" s="1" t="s">
        <v>38</v>
      </c>
      <c r="B40" s="2">
        <v>0.01695035025477409</v>
      </c>
      <c r="C40" s="1">
        <v>12</v>
      </c>
      <c r="D40" s="1">
        <v>12</v>
      </c>
      <c r="E40" s="1">
        <v>12</v>
      </c>
      <c r="F40" s="1">
        <v>0</v>
      </c>
      <c r="G40" s="1">
        <v>0</v>
      </c>
      <c r="H40" s="1">
        <v>12</v>
      </c>
    </row>
    <row r="41" spans="1:8">
      <c r="A41" s="1" t="s">
        <v>39</v>
      </c>
      <c r="B41" s="2">
        <v>0.01695035025477409</v>
      </c>
      <c r="C41" s="1">
        <v>12</v>
      </c>
      <c r="D41" s="1">
        <v>186</v>
      </c>
      <c r="E41" s="1">
        <v>174</v>
      </c>
      <c r="F41" s="1">
        <v>0</v>
      </c>
      <c r="G41" s="1">
        <v>12</v>
      </c>
      <c r="H41" s="1">
        <v>0</v>
      </c>
    </row>
    <row r="42" spans="1:8">
      <c r="A42" s="1" t="s">
        <v>40</v>
      </c>
      <c r="B42" s="2">
        <v>0.01695035025477409</v>
      </c>
      <c r="C42" s="1">
        <v>12</v>
      </c>
      <c r="D42" s="1">
        <v>220</v>
      </c>
      <c r="E42" s="1">
        <v>220</v>
      </c>
      <c r="F42" s="1">
        <v>0</v>
      </c>
      <c r="G42" s="1">
        <v>0</v>
      </c>
      <c r="H42" s="1">
        <v>12</v>
      </c>
    </row>
    <row r="43" spans="1:8">
      <c r="A43" s="1" t="s">
        <v>41</v>
      </c>
      <c r="B43" s="2">
        <v>0.012712761759758</v>
      </c>
      <c r="C43" s="1">
        <v>9</v>
      </c>
      <c r="D43" s="1">
        <v>217</v>
      </c>
      <c r="E43" s="1">
        <v>212</v>
      </c>
      <c r="F43" s="1">
        <v>0</v>
      </c>
      <c r="G43" s="1">
        <v>5</v>
      </c>
      <c r="H43" s="1">
        <v>4</v>
      </c>
    </row>
    <row r="44" spans="1:8">
      <c r="A44" s="1" t="s">
        <v>42</v>
      </c>
      <c r="B44" s="2">
        <v>0.012712761759758</v>
      </c>
      <c r="C44" s="1">
        <v>9</v>
      </c>
      <c r="D44" s="1">
        <v>1248</v>
      </c>
      <c r="E44" s="1">
        <v>1188</v>
      </c>
      <c r="F44" s="1">
        <v>56</v>
      </c>
      <c r="G44" s="1">
        <v>4</v>
      </c>
      <c r="H44" s="1">
        <v>5</v>
      </c>
    </row>
    <row r="45" spans="1:8">
      <c r="A45" s="1" t="s">
        <v>43</v>
      </c>
      <c r="B45" s="2">
        <v>0.01130023319274187</v>
      </c>
      <c r="C45" s="1">
        <v>8</v>
      </c>
      <c r="D45" s="1">
        <v>440</v>
      </c>
      <c r="E45" s="1">
        <v>432</v>
      </c>
      <c r="F45" s="1">
        <v>0</v>
      </c>
      <c r="G45" s="1">
        <v>8</v>
      </c>
      <c r="H45" s="1">
        <v>0</v>
      </c>
    </row>
    <row r="46" spans="1:8">
      <c r="A46" s="1" t="s">
        <v>44</v>
      </c>
      <c r="B46" s="2">
        <v>0.01130023319274187</v>
      </c>
      <c r="C46" s="1">
        <v>8</v>
      </c>
      <c r="D46" s="1">
        <v>290</v>
      </c>
      <c r="E46" s="1">
        <v>258</v>
      </c>
      <c r="F46" s="1">
        <v>24</v>
      </c>
      <c r="G46" s="1">
        <v>8</v>
      </c>
      <c r="H46" s="1">
        <v>0</v>
      </c>
    </row>
    <row r="47" spans="1:8">
      <c r="A47" s="1" t="s">
        <v>45</v>
      </c>
      <c r="B47" s="2">
        <v>0.01130023319274187</v>
      </c>
      <c r="C47" s="1">
        <v>8</v>
      </c>
      <c r="D47" s="1">
        <v>156</v>
      </c>
      <c r="E47" s="1">
        <v>148</v>
      </c>
      <c r="F47" s="1">
        <v>0</v>
      </c>
      <c r="G47" s="1">
        <v>8</v>
      </c>
      <c r="H47" s="1">
        <v>0</v>
      </c>
    </row>
    <row r="48" spans="1:8">
      <c r="A48" s="1" t="s">
        <v>46</v>
      </c>
      <c r="B48" s="2">
        <v>0.005650116596370935</v>
      </c>
      <c r="C48" s="1">
        <v>4</v>
      </c>
      <c r="D48" s="1">
        <v>706</v>
      </c>
      <c r="E48" s="1">
        <v>702</v>
      </c>
      <c r="F48" s="1">
        <v>0</v>
      </c>
      <c r="G48" s="1">
        <v>4</v>
      </c>
      <c r="H48" s="1">
        <v>0</v>
      </c>
    </row>
    <row r="49" spans="1:8">
      <c r="A49" s="1" t="s">
        <v>47</v>
      </c>
      <c r="B49" s="2">
        <v>0.005650116596370935</v>
      </c>
      <c r="C49" s="1">
        <v>4</v>
      </c>
      <c r="D49" s="1">
        <v>482</v>
      </c>
      <c r="E49" s="1">
        <v>478</v>
      </c>
      <c r="F49" s="1">
        <v>0</v>
      </c>
      <c r="G49" s="1">
        <v>4</v>
      </c>
      <c r="H49" s="1">
        <v>0</v>
      </c>
    </row>
    <row r="50" spans="1:8">
      <c r="A50" s="1" t="s">
        <v>48</v>
      </c>
      <c r="B50" s="2">
        <v>0.005650116596370935</v>
      </c>
      <c r="C50" s="1">
        <v>4</v>
      </c>
      <c r="D50" s="1">
        <v>176</v>
      </c>
      <c r="E50" s="1">
        <v>144</v>
      </c>
      <c r="F50" s="1">
        <v>28</v>
      </c>
      <c r="G50" s="1">
        <v>4</v>
      </c>
      <c r="H50" s="1">
        <v>0</v>
      </c>
    </row>
    <row r="51" spans="1:8">
      <c r="A51" s="1" t="s">
        <v>49</v>
      </c>
      <c r="B51" s="2">
        <v>0.005650116596370935</v>
      </c>
      <c r="C51" s="1">
        <v>4</v>
      </c>
      <c r="D51" s="1">
        <v>488</v>
      </c>
      <c r="E51" s="1">
        <v>484</v>
      </c>
      <c r="F51" s="1">
        <v>0</v>
      </c>
      <c r="G51" s="1">
        <v>4</v>
      </c>
      <c r="H51" s="1">
        <v>0</v>
      </c>
    </row>
    <row r="52" spans="1:8">
      <c r="A52" s="1" t="s">
        <v>16</v>
      </c>
      <c r="B52" s="2">
        <v>0.005650116596370935</v>
      </c>
      <c r="C52" s="1">
        <v>4</v>
      </c>
      <c r="D52" s="1">
        <v>1764</v>
      </c>
      <c r="E52" s="1">
        <v>1748</v>
      </c>
      <c r="F52" s="1">
        <v>12</v>
      </c>
      <c r="G52" s="1">
        <v>4</v>
      </c>
      <c r="H52" s="1">
        <v>0</v>
      </c>
    </row>
    <row r="53" spans="1:8">
      <c r="A53" s="1" t="s">
        <v>50</v>
      </c>
      <c r="B53" s="2">
        <v>0.005650116596370935</v>
      </c>
      <c r="C53" s="1">
        <v>4</v>
      </c>
      <c r="D53" s="1">
        <v>356</v>
      </c>
      <c r="E53" s="1">
        <v>352</v>
      </c>
      <c r="F53" s="1">
        <v>0</v>
      </c>
      <c r="G53" s="1">
        <v>4</v>
      </c>
      <c r="H53" s="1">
        <v>0</v>
      </c>
    </row>
    <row r="54" spans="1:8">
      <c r="A54" s="1" t="s">
        <v>51</v>
      </c>
      <c r="B54" s="2">
        <v>0.005650116596370935</v>
      </c>
      <c r="C54" s="1">
        <v>4</v>
      </c>
      <c r="D54" s="1">
        <v>116</v>
      </c>
      <c r="E54" s="1">
        <v>112</v>
      </c>
      <c r="F54" s="1">
        <v>0</v>
      </c>
      <c r="G54" s="1">
        <v>4</v>
      </c>
      <c r="H54" s="1">
        <v>0</v>
      </c>
    </row>
    <row r="55" spans="1:8">
      <c r="A55" s="1" t="s">
        <v>52</v>
      </c>
      <c r="B55" s="2">
        <v>0.005650116596370935</v>
      </c>
      <c r="C55" s="1">
        <v>4</v>
      </c>
      <c r="D55" s="1">
        <v>502</v>
      </c>
      <c r="E55" s="1">
        <v>498</v>
      </c>
      <c r="F55" s="1">
        <v>0</v>
      </c>
      <c r="G55" s="1">
        <v>4</v>
      </c>
      <c r="H55" s="1">
        <v>0</v>
      </c>
    </row>
    <row r="56" spans="1:8">
      <c r="A56" s="1" t="s">
        <v>53</v>
      </c>
      <c r="B56" s="2">
        <v>0.005650116596370935</v>
      </c>
      <c r="C56" s="1">
        <v>4</v>
      </c>
      <c r="D56" s="1">
        <v>346</v>
      </c>
      <c r="E56" s="1">
        <v>326</v>
      </c>
      <c r="F56" s="1">
        <v>16</v>
      </c>
      <c r="G56" s="1">
        <v>4</v>
      </c>
      <c r="H56" s="1">
        <v>0</v>
      </c>
    </row>
    <row r="57" spans="1:8">
      <c r="A57" s="1" t="s">
        <v>54</v>
      </c>
      <c r="B57" s="2">
        <v>0.005650116596370935</v>
      </c>
      <c r="C57" s="1">
        <v>4</v>
      </c>
      <c r="D57" s="1">
        <v>46</v>
      </c>
      <c r="E57" s="1">
        <v>18</v>
      </c>
      <c r="F57" s="1">
        <v>24</v>
      </c>
      <c r="G57" s="1">
        <v>4</v>
      </c>
      <c r="H57" s="1">
        <v>0</v>
      </c>
    </row>
    <row r="58" spans="1:8">
      <c r="A58" s="1" t="s">
        <v>55</v>
      </c>
      <c r="B58" s="2">
        <v>0.005650116596370935</v>
      </c>
      <c r="C58" s="1">
        <v>4</v>
      </c>
      <c r="D58" s="1">
        <v>92</v>
      </c>
      <c r="E58" s="1">
        <v>88</v>
      </c>
      <c r="F58" s="1">
        <v>0</v>
      </c>
      <c r="G58" s="1">
        <v>4</v>
      </c>
      <c r="H58" s="1">
        <v>0</v>
      </c>
    </row>
    <row r="59" spans="1:8">
      <c r="A59" s="1" t="s">
        <v>56</v>
      </c>
      <c r="B59" s="2">
        <v>0.005650116596370935</v>
      </c>
      <c r="C59" s="1">
        <v>4</v>
      </c>
      <c r="D59" s="1">
        <v>402</v>
      </c>
      <c r="E59" s="1">
        <v>304</v>
      </c>
      <c r="F59" s="1">
        <v>98</v>
      </c>
      <c r="G59" s="1">
        <v>0</v>
      </c>
      <c r="H59" s="1">
        <v>4</v>
      </c>
    </row>
    <row r="60" spans="1:8">
      <c r="A60" s="1" t="s">
        <v>57</v>
      </c>
      <c r="B60" s="2">
        <v>0.005650116596370935</v>
      </c>
      <c r="C60" s="1">
        <v>4</v>
      </c>
      <c r="D60" s="1">
        <v>56</v>
      </c>
      <c r="E60" s="1">
        <v>52</v>
      </c>
      <c r="F60" s="1">
        <v>0</v>
      </c>
      <c r="G60" s="1">
        <v>4</v>
      </c>
      <c r="H60" s="1">
        <v>0</v>
      </c>
    </row>
    <row r="61" spans="1:8">
      <c r="A61" s="1" t="s">
        <v>58</v>
      </c>
      <c r="B61" s="2">
        <v>0.005650116596370935</v>
      </c>
      <c r="C61" s="1">
        <v>4</v>
      </c>
      <c r="D61" s="1">
        <v>294</v>
      </c>
      <c r="E61" s="1">
        <v>294</v>
      </c>
      <c r="F61" s="1">
        <v>0</v>
      </c>
      <c r="G61" s="1">
        <v>0</v>
      </c>
      <c r="H61" s="1">
        <v>4</v>
      </c>
    </row>
    <row r="62" spans="1:8">
      <c r="A62" s="1" t="s">
        <v>59</v>
      </c>
      <c r="B62" s="2">
        <v>0.001412529149092734</v>
      </c>
      <c r="C62" s="1">
        <v>1</v>
      </c>
      <c r="D62" s="1">
        <v>367</v>
      </c>
      <c r="E62" s="1">
        <v>366</v>
      </c>
      <c r="F62" s="1">
        <v>0</v>
      </c>
      <c r="G62" s="1">
        <v>1</v>
      </c>
      <c r="H62" s="1">
        <v>0</v>
      </c>
    </row>
    <row r="63" spans="1:8">
      <c r="A63" s="1" t="s">
        <v>60</v>
      </c>
      <c r="B63" s="2">
        <v>0.001412529149092734</v>
      </c>
      <c r="C63" s="1">
        <v>1</v>
      </c>
      <c r="D63" s="1">
        <v>573</v>
      </c>
      <c r="E63" s="1">
        <v>572</v>
      </c>
      <c r="F63" s="1">
        <v>0</v>
      </c>
      <c r="G63" s="1">
        <v>1</v>
      </c>
      <c r="H63" s="1">
        <v>0</v>
      </c>
    </row>
    <row r="231" spans="1:8">
      <c r="A231" t="s">
        <v>229</v>
      </c>
      <c r="B231">
        <f>SUBTOTAL(109,[ram_percent])</f>
        <v>0</v>
      </c>
      <c r="C231">
        <f>SUBTOTAL(109,[ram])</f>
        <v>0</v>
      </c>
      <c r="D231">
        <f>SUBTOTAL(109,[flash])</f>
        <v>0</v>
      </c>
      <c r="E231">
        <f>SUBTOTAL(109,[Code])</f>
        <v>0</v>
      </c>
      <c r="F231">
        <f>SUBTOTAL(109,[RO_data])</f>
        <v>0</v>
      </c>
      <c r="G231">
        <f>SUBTOTAL(109,[RW_data])</f>
        <v>0</v>
      </c>
      <c r="H23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228</v>
      </c>
      <c r="B2" t="s">
        <v>237</v>
      </c>
      <c r="C2" t="s">
        <v>232</v>
      </c>
      <c r="D2" t="s">
        <v>231</v>
      </c>
      <c r="E2" t="s">
        <v>233</v>
      </c>
      <c r="F2" t="s">
        <v>234</v>
      </c>
      <c r="G2" t="s">
        <v>235</v>
      </c>
      <c r="H2" t="s">
        <v>236</v>
      </c>
    </row>
    <row r="3" spans="1:8">
      <c r="A3" s="1" t="s">
        <v>3</v>
      </c>
      <c r="B3" s="2">
        <v>30.13207626342773</v>
      </c>
      <c r="C3" s="1">
        <v>49849</v>
      </c>
      <c r="D3" s="1">
        <v>1610</v>
      </c>
      <c r="E3" s="1">
        <v>41626</v>
      </c>
      <c r="F3" s="1">
        <v>7321</v>
      </c>
      <c r="G3" s="1">
        <v>902</v>
      </c>
      <c r="H3" s="1">
        <v>708</v>
      </c>
    </row>
    <row r="4" spans="1:8">
      <c r="A4" s="1" t="s">
        <v>16</v>
      </c>
      <c r="B4" s="2">
        <v>9.021065711975098</v>
      </c>
      <c r="C4" s="1">
        <v>14924</v>
      </c>
      <c r="D4" s="1">
        <v>94</v>
      </c>
      <c r="E4" s="1">
        <v>14912</v>
      </c>
      <c r="F4" s="1">
        <v>12</v>
      </c>
      <c r="G4" s="1">
        <v>0</v>
      </c>
      <c r="H4" s="1">
        <v>94</v>
      </c>
    </row>
    <row r="5" spans="1:8">
      <c r="A5" s="1" t="s">
        <v>13</v>
      </c>
      <c r="B5" s="2">
        <v>5.128902435302734</v>
      </c>
      <c r="C5" s="1">
        <v>8485</v>
      </c>
      <c r="D5" s="1">
        <v>96</v>
      </c>
      <c r="E5" s="1">
        <v>7934</v>
      </c>
      <c r="F5" s="1">
        <v>551</v>
      </c>
      <c r="G5" s="1">
        <v>0</v>
      </c>
      <c r="H5" s="1">
        <v>96</v>
      </c>
    </row>
    <row r="6" spans="1:8">
      <c r="A6" s="1" t="s">
        <v>5</v>
      </c>
      <c r="B6" s="2">
        <v>3.679995059967041</v>
      </c>
      <c r="C6" s="1">
        <v>6088</v>
      </c>
      <c r="D6" s="1">
        <v>800</v>
      </c>
      <c r="E6" s="1">
        <v>6044</v>
      </c>
      <c r="F6" s="1">
        <v>44</v>
      </c>
      <c r="G6" s="1">
        <v>0</v>
      </c>
      <c r="H6" s="1">
        <v>800</v>
      </c>
    </row>
    <row r="7" spans="1:8">
      <c r="A7" s="1" t="s">
        <v>9</v>
      </c>
      <c r="B7" s="2">
        <v>2.999969720840454</v>
      </c>
      <c r="C7" s="1">
        <v>4963</v>
      </c>
      <c r="D7" s="1">
        <v>133</v>
      </c>
      <c r="E7" s="1">
        <v>4854</v>
      </c>
      <c r="F7" s="1">
        <v>0</v>
      </c>
      <c r="G7" s="1">
        <v>109</v>
      </c>
      <c r="H7" s="1">
        <v>24</v>
      </c>
    </row>
    <row r="8" spans="1:8">
      <c r="A8" s="1" t="s">
        <v>61</v>
      </c>
      <c r="B8" s="2">
        <v>2.142230987548828</v>
      </c>
      <c r="C8" s="1">
        <v>3544</v>
      </c>
      <c r="D8" s="1">
        <v>0</v>
      </c>
      <c r="E8" s="1">
        <v>3492</v>
      </c>
      <c r="F8" s="1">
        <v>52</v>
      </c>
      <c r="G8" s="1">
        <v>0</v>
      </c>
      <c r="H8" s="1">
        <v>0</v>
      </c>
    </row>
    <row r="9" spans="1:8">
      <c r="A9" s="1" t="s">
        <v>21</v>
      </c>
      <c r="B9" s="2">
        <v>2.086015701293945</v>
      </c>
      <c r="C9" s="1">
        <v>3451</v>
      </c>
      <c r="D9" s="1">
        <v>64</v>
      </c>
      <c r="E9" s="1">
        <v>3400</v>
      </c>
      <c r="F9" s="1">
        <v>51</v>
      </c>
      <c r="G9" s="1">
        <v>0</v>
      </c>
      <c r="H9" s="1">
        <v>64</v>
      </c>
    </row>
    <row r="10" spans="1:8">
      <c r="A10" s="1" t="s">
        <v>62</v>
      </c>
      <c r="B10" s="2">
        <v>1.599419713020325</v>
      </c>
      <c r="C10" s="1">
        <v>2646</v>
      </c>
      <c r="D10" s="1">
        <v>0</v>
      </c>
      <c r="E10" s="1">
        <v>2646</v>
      </c>
      <c r="F10" s="1">
        <v>0</v>
      </c>
      <c r="G10" s="1">
        <v>0</v>
      </c>
      <c r="H10" s="1">
        <v>0</v>
      </c>
    </row>
    <row r="11" spans="1:8">
      <c r="A11" s="1" t="s">
        <v>63</v>
      </c>
      <c r="B11" s="2">
        <v>1.518421173095703</v>
      </c>
      <c r="C11" s="1">
        <v>2512</v>
      </c>
      <c r="D11" s="1">
        <v>0</v>
      </c>
      <c r="E11" s="1">
        <v>2396</v>
      </c>
      <c r="F11" s="1">
        <v>116</v>
      </c>
      <c r="G11" s="1">
        <v>0</v>
      </c>
      <c r="H11" s="1">
        <v>0</v>
      </c>
    </row>
    <row r="12" spans="1:8">
      <c r="A12" s="1" t="s">
        <v>64</v>
      </c>
      <c r="B12" s="2">
        <v>1.471272706985474</v>
      </c>
      <c r="C12" s="1">
        <v>2434</v>
      </c>
      <c r="D12" s="1">
        <v>0</v>
      </c>
      <c r="E12" s="1">
        <v>2318</v>
      </c>
      <c r="F12" s="1">
        <v>116</v>
      </c>
      <c r="G12" s="1">
        <v>0</v>
      </c>
      <c r="H12" s="1">
        <v>0</v>
      </c>
    </row>
    <row r="13" spans="1:8">
      <c r="A13" s="1" t="s">
        <v>65</v>
      </c>
      <c r="B13" s="2">
        <v>1.302626371383667</v>
      </c>
      <c r="C13" s="1">
        <v>2155</v>
      </c>
      <c r="D13" s="1">
        <v>0</v>
      </c>
      <c r="E13" s="1">
        <v>0</v>
      </c>
      <c r="F13" s="1">
        <v>2155</v>
      </c>
      <c r="G13" s="1">
        <v>0</v>
      </c>
      <c r="H13" s="1">
        <v>0</v>
      </c>
    </row>
    <row r="14" spans="1:8">
      <c r="A14" s="1" t="s">
        <v>66</v>
      </c>
      <c r="B14" s="2">
        <v>1.285096883773804</v>
      </c>
      <c r="C14" s="1">
        <v>2126</v>
      </c>
      <c r="D14" s="1">
        <v>0</v>
      </c>
      <c r="E14" s="1">
        <v>2126</v>
      </c>
      <c r="F14" s="1">
        <v>0</v>
      </c>
      <c r="G14" s="1">
        <v>0</v>
      </c>
      <c r="H14" s="1">
        <v>0</v>
      </c>
    </row>
    <row r="15" spans="1:8">
      <c r="A15" s="1" t="s">
        <v>67</v>
      </c>
      <c r="B15" s="2">
        <v>1.23673951625824</v>
      </c>
      <c r="C15" s="1">
        <v>2046</v>
      </c>
      <c r="D15" s="1">
        <v>0</v>
      </c>
      <c r="E15" s="1">
        <v>0</v>
      </c>
      <c r="F15" s="1">
        <v>2046</v>
      </c>
      <c r="G15" s="1">
        <v>0</v>
      </c>
      <c r="H15" s="1">
        <v>0</v>
      </c>
    </row>
    <row r="16" spans="1:8">
      <c r="A16" s="1" t="s">
        <v>68</v>
      </c>
      <c r="B16" s="2">
        <v>1.170248150825501</v>
      </c>
      <c r="C16" s="1">
        <v>1936</v>
      </c>
      <c r="D16" s="1">
        <v>0</v>
      </c>
      <c r="E16" s="1">
        <v>1936</v>
      </c>
      <c r="F16" s="1">
        <v>0</v>
      </c>
      <c r="G16" s="1">
        <v>0</v>
      </c>
      <c r="H16" s="1">
        <v>0</v>
      </c>
    </row>
    <row r="17" spans="1:8">
      <c r="A17" s="1" t="s">
        <v>69</v>
      </c>
      <c r="B17" s="2">
        <v>1.135189056396484</v>
      </c>
      <c r="C17" s="1">
        <v>1878</v>
      </c>
      <c r="D17" s="1">
        <v>0</v>
      </c>
      <c r="E17" s="1">
        <v>1878</v>
      </c>
      <c r="F17" s="1">
        <v>0</v>
      </c>
      <c r="G17" s="1">
        <v>0</v>
      </c>
      <c r="H17" s="1">
        <v>0</v>
      </c>
    </row>
    <row r="18" spans="1:8">
      <c r="A18" s="1" t="s">
        <v>70</v>
      </c>
      <c r="B18" s="2">
        <v>1.12551760673523</v>
      </c>
      <c r="C18" s="1">
        <v>1862</v>
      </c>
      <c r="D18" s="1">
        <v>0</v>
      </c>
      <c r="E18" s="1">
        <v>1854</v>
      </c>
      <c r="F18" s="1">
        <v>8</v>
      </c>
      <c r="G18" s="1">
        <v>0</v>
      </c>
      <c r="H18" s="1">
        <v>0</v>
      </c>
    </row>
    <row r="19" spans="1:8">
      <c r="A19" s="1" t="s">
        <v>71</v>
      </c>
      <c r="B19" s="2">
        <v>1.09771203994751</v>
      </c>
      <c r="C19" s="1">
        <v>1816</v>
      </c>
      <c r="D19" s="1">
        <v>0</v>
      </c>
      <c r="E19" s="1">
        <v>0</v>
      </c>
      <c r="F19" s="1">
        <v>1816</v>
      </c>
      <c r="G19" s="1">
        <v>0</v>
      </c>
      <c r="H19" s="1">
        <v>0</v>
      </c>
    </row>
    <row r="20" spans="1:8">
      <c r="A20" s="1" t="s">
        <v>18</v>
      </c>
      <c r="B20" s="2">
        <v>1.094085335731506</v>
      </c>
      <c r="C20" s="1">
        <v>1810</v>
      </c>
      <c r="D20" s="1">
        <v>72</v>
      </c>
      <c r="E20" s="1">
        <v>1738</v>
      </c>
      <c r="F20" s="1">
        <v>0</v>
      </c>
      <c r="G20" s="1">
        <v>72</v>
      </c>
      <c r="H20" s="1">
        <v>0</v>
      </c>
    </row>
    <row r="21" spans="1:8">
      <c r="A21" s="1" t="s">
        <v>16</v>
      </c>
      <c r="B21" s="2">
        <v>1.066279768943787</v>
      </c>
      <c r="C21" s="1">
        <v>1764</v>
      </c>
      <c r="D21" s="1">
        <v>4</v>
      </c>
      <c r="E21" s="1">
        <v>1748</v>
      </c>
      <c r="F21" s="1">
        <v>12</v>
      </c>
      <c r="G21" s="1">
        <v>4</v>
      </c>
      <c r="H21" s="1">
        <v>0</v>
      </c>
    </row>
    <row r="22" spans="1:8">
      <c r="A22" s="1" t="s">
        <v>8</v>
      </c>
      <c r="B22" s="2">
        <v>1.004624128341675</v>
      </c>
      <c r="C22" s="1">
        <v>1662</v>
      </c>
      <c r="D22" s="1">
        <v>208</v>
      </c>
      <c r="E22" s="1">
        <v>1658</v>
      </c>
      <c r="F22" s="1">
        <v>0</v>
      </c>
      <c r="G22" s="1">
        <v>4</v>
      </c>
      <c r="H22" s="1">
        <v>204</v>
      </c>
    </row>
    <row r="23" spans="1:8">
      <c r="A23" s="1" t="s">
        <v>2</v>
      </c>
      <c r="B23" s="2">
        <v>0.967751681804657</v>
      </c>
      <c r="C23" s="1">
        <v>1601</v>
      </c>
      <c r="D23" s="1">
        <v>10268</v>
      </c>
      <c r="E23" s="1">
        <v>1548</v>
      </c>
      <c r="F23" s="1">
        <v>53</v>
      </c>
      <c r="G23" s="1">
        <v>0</v>
      </c>
      <c r="H23" s="1">
        <v>10268</v>
      </c>
    </row>
    <row r="24" spans="1:8">
      <c r="A24" s="1" t="s">
        <v>25</v>
      </c>
      <c r="B24" s="2">
        <v>0.9514310956001282</v>
      </c>
      <c r="C24" s="1">
        <v>1574</v>
      </c>
      <c r="D24" s="1">
        <v>52</v>
      </c>
      <c r="E24" s="1">
        <v>1546</v>
      </c>
      <c r="F24" s="1">
        <v>0</v>
      </c>
      <c r="G24" s="1">
        <v>28</v>
      </c>
      <c r="H24" s="1">
        <v>24</v>
      </c>
    </row>
    <row r="25" spans="1:8">
      <c r="A25" s="1" t="s">
        <v>72</v>
      </c>
      <c r="B25" s="2">
        <v>0.8958200812339783</v>
      </c>
      <c r="C25" s="1">
        <v>1482</v>
      </c>
      <c r="D25" s="1">
        <v>0</v>
      </c>
      <c r="E25" s="1">
        <v>1482</v>
      </c>
      <c r="F25" s="1">
        <v>0</v>
      </c>
      <c r="G25" s="1">
        <v>0</v>
      </c>
      <c r="H25" s="1">
        <v>0</v>
      </c>
    </row>
    <row r="26" spans="1:8">
      <c r="A26" s="1" t="s">
        <v>23</v>
      </c>
      <c r="B26" s="2">
        <v>0.8371868133544922</v>
      </c>
      <c r="C26" s="1">
        <v>1385</v>
      </c>
      <c r="D26" s="1">
        <v>60</v>
      </c>
      <c r="E26" s="1">
        <v>1336</v>
      </c>
      <c r="F26" s="1">
        <v>49</v>
      </c>
      <c r="G26" s="1">
        <v>0</v>
      </c>
      <c r="H26" s="1">
        <v>60</v>
      </c>
    </row>
    <row r="27" spans="1:8">
      <c r="A27" s="1" t="s">
        <v>42</v>
      </c>
      <c r="B27" s="2">
        <v>0.7543748021125794</v>
      </c>
      <c r="C27" s="1">
        <v>1248</v>
      </c>
      <c r="D27" s="1">
        <v>9</v>
      </c>
      <c r="E27" s="1">
        <v>1188</v>
      </c>
      <c r="F27" s="1">
        <v>56</v>
      </c>
      <c r="G27" s="1">
        <v>4</v>
      </c>
      <c r="H27" s="1">
        <v>5</v>
      </c>
    </row>
    <row r="28" spans="1:8">
      <c r="A28" s="1" t="s">
        <v>15</v>
      </c>
      <c r="B28" s="2">
        <v>0.7108532190322876</v>
      </c>
      <c r="C28" s="1">
        <v>1176</v>
      </c>
      <c r="D28" s="1">
        <v>96</v>
      </c>
      <c r="E28" s="1">
        <v>1152</v>
      </c>
      <c r="F28" s="1">
        <v>0</v>
      </c>
      <c r="G28" s="1">
        <v>24</v>
      </c>
      <c r="H28" s="1">
        <v>72</v>
      </c>
    </row>
    <row r="29" spans="1:8">
      <c r="A29" s="1" t="s">
        <v>73</v>
      </c>
      <c r="B29" s="2">
        <v>0.6528244018554688</v>
      </c>
      <c r="C29" s="1">
        <v>1080</v>
      </c>
      <c r="D29" s="1">
        <v>0</v>
      </c>
      <c r="E29" s="1">
        <v>1080</v>
      </c>
      <c r="F29" s="1">
        <v>0</v>
      </c>
      <c r="G29" s="1">
        <v>0</v>
      </c>
      <c r="H29" s="1">
        <v>0</v>
      </c>
    </row>
    <row r="30" spans="1:8">
      <c r="A30" s="1" t="s">
        <v>74</v>
      </c>
      <c r="B30" s="2">
        <v>0.6358993053436279</v>
      </c>
      <c r="C30" s="1">
        <v>1052</v>
      </c>
      <c r="D30" s="1">
        <v>0</v>
      </c>
      <c r="E30" s="1">
        <v>1052</v>
      </c>
      <c r="F30" s="1">
        <v>0</v>
      </c>
      <c r="G30" s="1">
        <v>0</v>
      </c>
      <c r="H30" s="1">
        <v>0</v>
      </c>
    </row>
    <row r="31" spans="1:8">
      <c r="A31" s="1" t="s">
        <v>75</v>
      </c>
      <c r="B31" s="2">
        <v>0.632272481918335</v>
      </c>
      <c r="C31" s="1">
        <v>1046</v>
      </c>
      <c r="D31" s="1">
        <v>0</v>
      </c>
      <c r="E31" s="1">
        <v>1046</v>
      </c>
      <c r="F31" s="1">
        <v>0</v>
      </c>
      <c r="G31" s="1">
        <v>0</v>
      </c>
      <c r="H31" s="1">
        <v>0</v>
      </c>
    </row>
    <row r="32" spans="1:8">
      <c r="A32" s="1" t="s">
        <v>22</v>
      </c>
      <c r="B32" s="2">
        <v>0.559736430644989</v>
      </c>
      <c r="C32" s="1">
        <v>926</v>
      </c>
      <c r="D32" s="1">
        <v>60</v>
      </c>
      <c r="E32" s="1">
        <v>866</v>
      </c>
      <c r="F32" s="1">
        <v>0</v>
      </c>
      <c r="G32" s="1">
        <v>60</v>
      </c>
      <c r="H32" s="1">
        <v>0</v>
      </c>
    </row>
    <row r="33" spans="1:8">
      <c r="A33" s="1" t="s">
        <v>26</v>
      </c>
      <c r="B33" s="2">
        <v>0.5488560199737549</v>
      </c>
      <c r="C33" s="1">
        <v>908</v>
      </c>
      <c r="D33" s="1">
        <v>48</v>
      </c>
      <c r="E33" s="1">
        <v>860</v>
      </c>
      <c r="F33" s="1">
        <v>0</v>
      </c>
      <c r="G33" s="1">
        <v>48</v>
      </c>
      <c r="H33" s="1">
        <v>0</v>
      </c>
    </row>
    <row r="34" spans="1:8">
      <c r="A34" s="1" t="s">
        <v>76</v>
      </c>
      <c r="B34" s="2">
        <v>0.4872004091739655</v>
      </c>
      <c r="C34" s="1">
        <v>806</v>
      </c>
      <c r="D34" s="1">
        <v>0</v>
      </c>
      <c r="E34" s="1">
        <v>806</v>
      </c>
      <c r="F34" s="1">
        <v>0</v>
      </c>
      <c r="G34" s="1">
        <v>0</v>
      </c>
      <c r="H34" s="1">
        <v>0</v>
      </c>
    </row>
    <row r="35" spans="1:8">
      <c r="A35" s="1" t="s">
        <v>77</v>
      </c>
      <c r="B35" s="2">
        <v>0.4847825467586517</v>
      </c>
      <c r="C35" s="1">
        <v>802</v>
      </c>
      <c r="D35" s="1">
        <v>0</v>
      </c>
      <c r="E35" s="1">
        <v>764</v>
      </c>
      <c r="F35" s="1">
        <v>38</v>
      </c>
      <c r="G35" s="1">
        <v>0</v>
      </c>
      <c r="H35" s="1">
        <v>0</v>
      </c>
    </row>
    <row r="36" spans="1:8">
      <c r="A36" s="1" t="s">
        <v>10</v>
      </c>
      <c r="B36" s="2">
        <v>0.4303805232048035</v>
      </c>
      <c r="C36" s="1">
        <v>712</v>
      </c>
      <c r="D36" s="1">
        <v>128</v>
      </c>
      <c r="E36" s="1">
        <v>568</v>
      </c>
      <c r="F36" s="1">
        <v>16</v>
      </c>
      <c r="G36" s="1">
        <v>128</v>
      </c>
      <c r="H36" s="1">
        <v>0</v>
      </c>
    </row>
    <row r="37" spans="1:8">
      <c r="A37" s="1" t="s">
        <v>46</v>
      </c>
      <c r="B37" s="2">
        <v>0.4267536997795105</v>
      </c>
      <c r="C37" s="1">
        <v>706</v>
      </c>
      <c r="D37" s="1">
        <v>4</v>
      </c>
      <c r="E37" s="1">
        <v>702</v>
      </c>
      <c r="F37" s="1">
        <v>0</v>
      </c>
      <c r="G37" s="1">
        <v>4</v>
      </c>
      <c r="H37" s="1">
        <v>0</v>
      </c>
    </row>
    <row r="38" spans="1:8">
      <c r="A38" s="1" t="s">
        <v>7</v>
      </c>
      <c r="B38" s="2">
        <v>0.4128509759902954</v>
      </c>
      <c r="C38" s="1">
        <v>683</v>
      </c>
      <c r="D38" s="1">
        <v>239</v>
      </c>
      <c r="E38" s="1">
        <v>548</v>
      </c>
      <c r="F38" s="1">
        <v>8</v>
      </c>
      <c r="G38" s="1">
        <v>127</v>
      </c>
      <c r="H38" s="1">
        <v>112</v>
      </c>
    </row>
    <row r="39" spans="1:8">
      <c r="A39" s="1" t="s">
        <v>78</v>
      </c>
      <c r="B39" s="2">
        <v>0.4122464954853058</v>
      </c>
      <c r="C39" s="1">
        <v>682</v>
      </c>
      <c r="D39" s="1">
        <v>0</v>
      </c>
      <c r="E39" s="1">
        <v>682</v>
      </c>
      <c r="F39" s="1">
        <v>0</v>
      </c>
      <c r="G39" s="1">
        <v>0</v>
      </c>
      <c r="H39" s="1">
        <v>0</v>
      </c>
    </row>
    <row r="40" spans="1:8">
      <c r="A40" s="1" t="s">
        <v>79</v>
      </c>
      <c r="B40" s="2">
        <v>0.4025750160217285</v>
      </c>
      <c r="C40" s="1">
        <v>666</v>
      </c>
      <c r="D40" s="1">
        <v>0</v>
      </c>
      <c r="E40" s="1">
        <v>666</v>
      </c>
      <c r="F40" s="1">
        <v>0</v>
      </c>
      <c r="G40" s="1">
        <v>0</v>
      </c>
      <c r="H40" s="1">
        <v>0</v>
      </c>
    </row>
    <row r="41" spans="1:8">
      <c r="A41" s="1" t="s">
        <v>80</v>
      </c>
      <c r="B41" s="2">
        <v>0.4013660848140717</v>
      </c>
      <c r="C41" s="1">
        <v>664</v>
      </c>
      <c r="D41" s="1">
        <v>0</v>
      </c>
      <c r="E41" s="1">
        <v>664</v>
      </c>
      <c r="F41" s="1">
        <v>0</v>
      </c>
      <c r="G41" s="1">
        <v>0</v>
      </c>
      <c r="H41" s="1">
        <v>0</v>
      </c>
    </row>
    <row r="42" spans="1:8">
      <c r="A42" s="1" t="s">
        <v>81</v>
      </c>
      <c r="B42" s="2">
        <v>0.3675159513950348</v>
      </c>
      <c r="C42" s="1">
        <v>608</v>
      </c>
      <c r="D42" s="1">
        <v>0</v>
      </c>
      <c r="E42" s="1">
        <v>0</v>
      </c>
      <c r="F42" s="1">
        <v>608</v>
      </c>
      <c r="G42" s="1">
        <v>0</v>
      </c>
      <c r="H42" s="1">
        <v>0</v>
      </c>
    </row>
    <row r="43" spans="1:8">
      <c r="A43" s="1" t="s">
        <v>6</v>
      </c>
      <c r="B43" s="2">
        <v>0.3614712655544281</v>
      </c>
      <c r="C43" s="1">
        <v>598</v>
      </c>
      <c r="D43" s="1">
        <v>355</v>
      </c>
      <c r="E43" s="1">
        <v>598</v>
      </c>
      <c r="F43" s="1">
        <v>0</v>
      </c>
      <c r="G43" s="1">
        <v>0</v>
      </c>
      <c r="H43" s="1">
        <v>355</v>
      </c>
    </row>
    <row r="44" spans="1:8">
      <c r="A44" s="1" t="s">
        <v>60</v>
      </c>
      <c r="B44" s="2">
        <v>0.3463596105575562</v>
      </c>
      <c r="C44" s="1">
        <v>573</v>
      </c>
      <c r="D44" s="1">
        <v>1</v>
      </c>
      <c r="E44" s="1">
        <v>572</v>
      </c>
      <c r="F44" s="1">
        <v>0</v>
      </c>
      <c r="G44" s="1">
        <v>1</v>
      </c>
      <c r="H44" s="1">
        <v>0</v>
      </c>
    </row>
    <row r="45" spans="1:8">
      <c r="A45" s="1" t="s">
        <v>82</v>
      </c>
      <c r="B45" s="2">
        <v>0.3397104740142822</v>
      </c>
      <c r="C45" s="1">
        <v>562</v>
      </c>
      <c r="D45" s="1">
        <v>0</v>
      </c>
      <c r="E45" s="1">
        <v>562</v>
      </c>
      <c r="F45" s="1">
        <v>0</v>
      </c>
      <c r="G45" s="1">
        <v>0</v>
      </c>
      <c r="H45" s="1">
        <v>0</v>
      </c>
    </row>
    <row r="46" spans="1:8">
      <c r="A46" s="1" t="s">
        <v>83</v>
      </c>
      <c r="B46" s="2">
        <v>0.3227853775024414</v>
      </c>
      <c r="C46" s="1">
        <v>534</v>
      </c>
      <c r="D46" s="1">
        <v>0</v>
      </c>
      <c r="E46" s="1">
        <v>534</v>
      </c>
      <c r="F46" s="1">
        <v>0</v>
      </c>
      <c r="G46" s="1">
        <v>0</v>
      </c>
      <c r="H46" s="1">
        <v>0</v>
      </c>
    </row>
    <row r="47" spans="1:8">
      <c r="A47" s="1" t="s">
        <v>17</v>
      </c>
      <c r="B47" s="2">
        <v>0.317949652671814</v>
      </c>
      <c r="C47" s="1">
        <v>526</v>
      </c>
      <c r="D47" s="1">
        <v>80</v>
      </c>
      <c r="E47" s="1">
        <v>526</v>
      </c>
      <c r="F47" s="1">
        <v>0</v>
      </c>
      <c r="G47" s="1">
        <v>0</v>
      </c>
      <c r="H47" s="1">
        <v>80</v>
      </c>
    </row>
    <row r="48" spans="1:8">
      <c r="A48" s="1" t="s">
        <v>84</v>
      </c>
      <c r="B48" s="2">
        <v>0.3046513795852661</v>
      </c>
      <c r="C48" s="1">
        <v>504</v>
      </c>
      <c r="D48" s="1">
        <v>0</v>
      </c>
      <c r="E48" s="1">
        <v>504</v>
      </c>
      <c r="F48" s="1">
        <v>0</v>
      </c>
      <c r="G48" s="1">
        <v>0</v>
      </c>
      <c r="H48" s="1">
        <v>0</v>
      </c>
    </row>
    <row r="49" spans="1:8">
      <c r="A49" s="1" t="s">
        <v>52</v>
      </c>
      <c r="B49" s="2">
        <v>0.3034424483776093</v>
      </c>
      <c r="C49" s="1">
        <v>502</v>
      </c>
      <c r="D49" s="1">
        <v>4</v>
      </c>
      <c r="E49" s="1">
        <v>498</v>
      </c>
      <c r="F49" s="1">
        <v>0</v>
      </c>
      <c r="G49" s="1">
        <v>4</v>
      </c>
      <c r="H49" s="1">
        <v>0</v>
      </c>
    </row>
    <row r="50" spans="1:8">
      <c r="A50" s="1" t="s">
        <v>34</v>
      </c>
      <c r="B50" s="2">
        <v>0.3034424483776093</v>
      </c>
      <c r="C50" s="1">
        <v>502</v>
      </c>
      <c r="D50" s="1">
        <v>20</v>
      </c>
      <c r="E50" s="1">
        <v>482</v>
      </c>
      <c r="F50" s="1">
        <v>0</v>
      </c>
      <c r="G50" s="1">
        <v>20</v>
      </c>
      <c r="H50" s="1">
        <v>0</v>
      </c>
    </row>
    <row r="51" spans="1:8">
      <c r="A51" s="1" t="s">
        <v>85</v>
      </c>
      <c r="B51" s="2">
        <v>0.2986066937446594</v>
      </c>
      <c r="C51" s="1">
        <v>494</v>
      </c>
      <c r="D51" s="1">
        <v>0</v>
      </c>
      <c r="E51" s="1">
        <v>494</v>
      </c>
      <c r="F51" s="1">
        <v>0</v>
      </c>
      <c r="G51" s="1">
        <v>0</v>
      </c>
      <c r="H51" s="1">
        <v>0</v>
      </c>
    </row>
    <row r="52" spans="1:8">
      <c r="A52" s="1" t="s">
        <v>49</v>
      </c>
      <c r="B52" s="2">
        <v>0.2949799001216888</v>
      </c>
      <c r="C52" s="1">
        <v>488</v>
      </c>
      <c r="D52" s="1">
        <v>4</v>
      </c>
      <c r="E52" s="1">
        <v>484</v>
      </c>
      <c r="F52" s="1">
        <v>0</v>
      </c>
      <c r="G52" s="1">
        <v>4</v>
      </c>
      <c r="H52" s="1">
        <v>0</v>
      </c>
    </row>
    <row r="53" spans="1:8">
      <c r="A53" s="1" t="s">
        <v>47</v>
      </c>
      <c r="B53" s="2">
        <v>0.2913531064987183</v>
      </c>
      <c r="C53" s="1">
        <v>482</v>
      </c>
      <c r="D53" s="1">
        <v>4</v>
      </c>
      <c r="E53" s="1">
        <v>478</v>
      </c>
      <c r="F53" s="1">
        <v>0</v>
      </c>
      <c r="G53" s="1">
        <v>4</v>
      </c>
      <c r="H53" s="1">
        <v>0</v>
      </c>
    </row>
    <row r="54" spans="1:8">
      <c r="A54" s="1" t="s">
        <v>4</v>
      </c>
      <c r="B54" s="2">
        <v>0.2828905582427979</v>
      </c>
      <c r="C54" s="1">
        <v>468</v>
      </c>
      <c r="D54" s="1">
        <v>1024</v>
      </c>
      <c r="E54" s="1">
        <v>76</v>
      </c>
      <c r="F54" s="1">
        <v>392</v>
      </c>
      <c r="G54" s="1">
        <v>0</v>
      </c>
      <c r="H54" s="1">
        <v>1024</v>
      </c>
    </row>
    <row r="55" spans="1:8">
      <c r="A55" s="1" t="s">
        <v>86</v>
      </c>
      <c r="B55" s="2">
        <v>0.2780548334121704</v>
      </c>
      <c r="C55" s="1">
        <v>460</v>
      </c>
      <c r="D55" s="1">
        <v>0</v>
      </c>
      <c r="E55" s="1">
        <v>460</v>
      </c>
      <c r="F55" s="1">
        <v>0</v>
      </c>
      <c r="G55" s="1">
        <v>0</v>
      </c>
      <c r="H55" s="1">
        <v>0</v>
      </c>
    </row>
    <row r="56" spans="1:8">
      <c r="A56" s="1" t="s">
        <v>87</v>
      </c>
      <c r="B56" s="2">
        <v>0.2708012163639069</v>
      </c>
      <c r="C56" s="1">
        <v>448</v>
      </c>
      <c r="D56" s="1">
        <v>0</v>
      </c>
      <c r="E56" s="1">
        <v>424</v>
      </c>
      <c r="F56" s="1">
        <v>24</v>
      </c>
      <c r="G56" s="1">
        <v>0</v>
      </c>
      <c r="H56" s="1">
        <v>0</v>
      </c>
    </row>
    <row r="57" spans="1:8">
      <c r="A57" s="1" t="s">
        <v>43</v>
      </c>
      <c r="B57" s="2">
        <v>0.2659654915332794</v>
      </c>
      <c r="C57" s="1">
        <v>440</v>
      </c>
      <c r="D57" s="1">
        <v>8</v>
      </c>
      <c r="E57" s="1">
        <v>432</v>
      </c>
      <c r="F57" s="1">
        <v>0</v>
      </c>
      <c r="G57" s="1">
        <v>8</v>
      </c>
      <c r="H57" s="1">
        <v>0</v>
      </c>
    </row>
    <row r="58" spans="1:8">
      <c r="A58" s="1" t="s">
        <v>88</v>
      </c>
      <c r="B58" s="2">
        <v>0.2635476291179657</v>
      </c>
      <c r="C58" s="1">
        <v>436</v>
      </c>
      <c r="D58" s="1">
        <v>0</v>
      </c>
      <c r="E58" s="1">
        <v>436</v>
      </c>
      <c r="F58" s="1">
        <v>0</v>
      </c>
      <c r="G58" s="1">
        <v>0</v>
      </c>
      <c r="H58" s="1">
        <v>0</v>
      </c>
    </row>
    <row r="59" spans="1:8">
      <c r="A59" s="1" t="s">
        <v>24</v>
      </c>
      <c r="B59" s="2">
        <v>0.2562940120697022</v>
      </c>
      <c r="C59" s="1">
        <v>424</v>
      </c>
      <c r="D59" s="1">
        <v>56</v>
      </c>
      <c r="E59" s="1">
        <v>368</v>
      </c>
      <c r="F59" s="1">
        <v>0</v>
      </c>
      <c r="G59" s="1">
        <v>56</v>
      </c>
      <c r="H59" s="1">
        <v>0</v>
      </c>
    </row>
    <row r="60" spans="1:8">
      <c r="A60" s="1" t="s">
        <v>89</v>
      </c>
      <c r="B60" s="2">
        <v>0.2472270131111145</v>
      </c>
      <c r="C60" s="1">
        <v>409</v>
      </c>
      <c r="D60" s="1">
        <v>0</v>
      </c>
      <c r="E60" s="1">
        <v>392</v>
      </c>
      <c r="F60" s="1">
        <v>17</v>
      </c>
      <c r="G60" s="1">
        <v>0</v>
      </c>
      <c r="H60" s="1">
        <v>0</v>
      </c>
    </row>
    <row r="61" spans="1:8">
      <c r="A61" s="1" t="s">
        <v>28</v>
      </c>
      <c r="B61" s="2">
        <v>0.2466225475072861</v>
      </c>
      <c r="C61" s="1">
        <v>408</v>
      </c>
      <c r="D61" s="1">
        <v>28</v>
      </c>
      <c r="E61" s="1">
        <v>380</v>
      </c>
      <c r="F61" s="1">
        <v>0</v>
      </c>
      <c r="G61" s="1">
        <v>28</v>
      </c>
      <c r="H61" s="1">
        <v>0</v>
      </c>
    </row>
    <row r="62" spans="1:8">
      <c r="A62" s="1" t="s">
        <v>56</v>
      </c>
      <c r="B62" s="2">
        <v>0.2429957389831543</v>
      </c>
      <c r="C62" s="1">
        <v>402</v>
      </c>
      <c r="D62" s="1">
        <v>4</v>
      </c>
      <c r="E62" s="1">
        <v>304</v>
      </c>
      <c r="F62" s="1">
        <v>98</v>
      </c>
      <c r="G62" s="1">
        <v>0</v>
      </c>
      <c r="H62" s="1">
        <v>4</v>
      </c>
    </row>
    <row r="63" spans="1:8">
      <c r="A63" s="1" t="s">
        <v>90</v>
      </c>
      <c r="B63" s="2">
        <v>0.2381599992513657</v>
      </c>
      <c r="C63" s="1">
        <v>394</v>
      </c>
      <c r="D63" s="1">
        <v>0</v>
      </c>
      <c r="E63" s="1">
        <v>394</v>
      </c>
      <c r="F63" s="1">
        <v>0</v>
      </c>
      <c r="G63" s="1">
        <v>0</v>
      </c>
      <c r="H63" s="1">
        <v>0</v>
      </c>
    </row>
    <row r="64" spans="1:8">
      <c r="A64" s="1" t="s">
        <v>91</v>
      </c>
      <c r="B64" s="2">
        <v>0.2357421368360519</v>
      </c>
      <c r="C64" s="1">
        <v>390</v>
      </c>
      <c r="D64" s="1">
        <v>0</v>
      </c>
      <c r="E64" s="1">
        <v>390</v>
      </c>
      <c r="F64" s="1">
        <v>0</v>
      </c>
      <c r="G64" s="1">
        <v>0</v>
      </c>
      <c r="H64" s="1">
        <v>0</v>
      </c>
    </row>
    <row r="65" spans="1:8">
      <c r="A65" s="1" t="s">
        <v>92</v>
      </c>
      <c r="B65" s="2">
        <v>0.2272796034812927</v>
      </c>
      <c r="C65" s="1">
        <v>376</v>
      </c>
      <c r="D65" s="1">
        <v>0</v>
      </c>
      <c r="E65" s="1">
        <v>228</v>
      </c>
      <c r="F65" s="1">
        <v>148</v>
      </c>
      <c r="G65" s="1">
        <v>0</v>
      </c>
      <c r="H65" s="1">
        <v>0</v>
      </c>
    </row>
    <row r="66" spans="1:8">
      <c r="A66" s="1" t="s">
        <v>36</v>
      </c>
      <c r="B66" s="2">
        <v>0.2266751229763031</v>
      </c>
      <c r="C66" s="1">
        <v>375</v>
      </c>
      <c r="D66" s="1">
        <v>16</v>
      </c>
      <c r="E66" s="1">
        <v>342</v>
      </c>
      <c r="F66" s="1">
        <v>33</v>
      </c>
      <c r="G66" s="1">
        <v>0</v>
      </c>
      <c r="H66" s="1">
        <v>16</v>
      </c>
    </row>
    <row r="67" spans="1:8">
      <c r="A67" s="1" t="s">
        <v>33</v>
      </c>
      <c r="B67" s="2">
        <v>0.2260706573724747</v>
      </c>
      <c r="C67" s="1">
        <v>374</v>
      </c>
      <c r="D67" s="1">
        <v>20</v>
      </c>
      <c r="E67" s="1">
        <v>354</v>
      </c>
      <c r="F67" s="1">
        <v>0</v>
      </c>
      <c r="G67" s="1">
        <v>20</v>
      </c>
      <c r="H67" s="1">
        <v>0</v>
      </c>
    </row>
    <row r="68" spans="1:8">
      <c r="A68" s="1" t="s">
        <v>11</v>
      </c>
      <c r="B68" s="2">
        <v>0.2224438637495041</v>
      </c>
      <c r="C68" s="1">
        <v>368</v>
      </c>
      <c r="D68" s="1">
        <v>104</v>
      </c>
      <c r="E68" s="1">
        <v>336</v>
      </c>
      <c r="F68" s="1">
        <v>0</v>
      </c>
      <c r="G68" s="1">
        <v>32</v>
      </c>
      <c r="H68" s="1">
        <v>72</v>
      </c>
    </row>
    <row r="69" spans="1:8">
      <c r="A69" s="1" t="s">
        <v>59</v>
      </c>
      <c r="B69" s="2">
        <v>0.2218393981456757</v>
      </c>
      <c r="C69" s="1">
        <v>367</v>
      </c>
      <c r="D69" s="1">
        <v>1</v>
      </c>
      <c r="E69" s="1">
        <v>366</v>
      </c>
      <c r="F69" s="1">
        <v>0</v>
      </c>
      <c r="G69" s="1">
        <v>1</v>
      </c>
      <c r="H69" s="1">
        <v>0</v>
      </c>
    </row>
    <row r="70" spans="1:8">
      <c r="A70" s="1" t="s">
        <v>93</v>
      </c>
      <c r="B70" s="2">
        <v>0.2163991928100586</v>
      </c>
      <c r="C70" s="1">
        <v>358</v>
      </c>
      <c r="D70" s="1">
        <v>0</v>
      </c>
      <c r="E70" s="1">
        <v>358</v>
      </c>
      <c r="F70" s="1">
        <v>0</v>
      </c>
      <c r="G70" s="1">
        <v>0</v>
      </c>
      <c r="H70" s="1">
        <v>0</v>
      </c>
    </row>
    <row r="71" spans="1:8">
      <c r="A71" s="1" t="s">
        <v>50</v>
      </c>
      <c r="B71" s="2">
        <v>0.2151902616024017</v>
      </c>
      <c r="C71" s="1">
        <v>356</v>
      </c>
      <c r="D71" s="1">
        <v>4</v>
      </c>
      <c r="E71" s="1">
        <v>352</v>
      </c>
      <c r="F71" s="1">
        <v>0</v>
      </c>
      <c r="G71" s="1">
        <v>4</v>
      </c>
      <c r="H71" s="1">
        <v>0</v>
      </c>
    </row>
    <row r="72" spans="1:8">
      <c r="A72" s="1" t="s">
        <v>53</v>
      </c>
      <c r="B72" s="2">
        <v>0.2091455906629562</v>
      </c>
      <c r="C72" s="1">
        <v>346</v>
      </c>
      <c r="D72" s="1">
        <v>4</v>
      </c>
      <c r="E72" s="1">
        <v>326</v>
      </c>
      <c r="F72" s="1">
        <v>16</v>
      </c>
      <c r="G72" s="1">
        <v>4</v>
      </c>
      <c r="H72" s="1">
        <v>0</v>
      </c>
    </row>
    <row r="73" spans="1:8">
      <c r="A73" s="1" t="s">
        <v>94</v>
      </c>
      <c r="B73" s="2">
        <v>0.2055187821388245</v>
      </c>
      <c r="C73" s="1">
        <v>340</v>
      </c>
      <c r="D73" s="1">
        <v>0</v>
      </c>
      <c r="E73" s="1">
        <v>340</v>
      </c>
      <c r="F73" s="1">
        <v>0</v>
      </c>
      <c r="G73" s="1">
        <v>0</v>
      </c>
      <c r="H73" s="1">
        <v>0</v>
      </c>
    </row>
    <row r="74" spans="1:8">
      <c r="A74" s="1" t="s">
        <v>95</v>
      </c>
      <c r="B74" s="2">
        <v>0.2031009197235107</v>
      </c>
      <c r="C74" s="1">
        <v>336</v>
      </c>
      <c r="D74" s="1">
        <v>0</v>
      </c>
      <c r="E74" s="1">
        <v>336</v>
      </c>
      <c r="F74" s="1">
        <v>0</v>
      </c>
      <c r="G74" s="1">
        <v>0</v>
      </c>
      <c r="H74" s="1">
        <v>0</v>
      </c>
    </row>
    <row r="75" spans="1:8">
      <c r="A75" s="1" t="s">
        <v>96</v>
      </c>
      <c r="B75" s="2">
        <v>0.1946383714675903</v>
      </c>
      <c r="C75" s="1">
        <v>322</v>
      </c>
      <c r="D75" s="1">
        <v>0</v>
      </c>
      <c r="E75" s="1">
        <v>322</v>
      </c>
      <c r="F75" s="1">
        <v>0</v>
      </c>
      <c r="G75" s="1">
        <v>0</v>
      </c>
      <c r="H75" s="1">
        <v>0</v>
      </c>
    </row>
    <row r="76" spans="1:8">
      <c r="A76" s="1" t="s">
        <v>97</v>
      </c>
      <c r="B76" s="2">
        <v>0.1910115778446198</v>
      </c>
      <c r="C76" s="1">
        <v>316</v>
      </c>
      <c r="D76" s="1">
        <v>0</v>
      </c>
      <c r="E76" s="1">
        <v>44</v>
      </c>
      <c r="F76" s="1">
        <v>272</v>
      </c>
      <c r="G76" s="1">
        <v>0</v>
      </c>
      <c r="H76" s="1">
        <v>0</v>
      </c>
    </row>
    <row r="77" spans="1:8">
      <c r="A77" s="1" t="s">
        <v>32</v>
      </c>
      <c r="B77" s="2">
        <v>0.1910115778446198</v>
      </c>
      <c r="C77" s="1">
        <v>316</v>
      </c>
      <c r="D77" s="1">
        <v>20</v>
      </c>
      <c r="E77" s="1">
        <v>296</v>
      </c>
      <c r="F77" s="1">
        <v>0</v>
      </c>
      <c r="G77" s="1">
        <v>20</v>
      </c>
      <c r="H77" s="1">
        <v>0</v>
      </c>
    </row>
    <row r="78" spans="1:8">
      <c r="A78" s="1" t="s">
        <v>98</v>
      </c>
      <c r="B78" s="2">
        <v>0.1825490444898605</v>
      </c>
      <c r="C78" s="1">
        <v>302</v>
      </c>
      <c r="D78" s="1">
        <v>0</v>
      </c>
      <c r="E78" s="1">
        <v>302</v>
      </c>
      <c r="F78" s="1">
        <v>0</v>
      </c>
      <c r="G78" s="1">
        <v>0</v>
      </c>
      <c r="H78" s="1">
        <v>0</v>
      </c>
    </row>
    <row r="79" spans="1:8">
      <c r="A79" s="1" t="s">
        <v>1</v>
      </c>
      <c r="B79" s="2">
        <v>0.1825490444898605</v>
      </c>
      <c r="C79" s="1">
        <v>302</v>
      </c>
      <c r="D79" s="1">
        <v>54428</v>
      </c>
      <c r="E79" s="1">
        <v>258</v>
      </c>
      <c r="F79" s="1">
        <v>16</v>
      </c>
      <c r="G79" s="1">
        <v>28</v>
      </c>
      <c r="H79" s="1">
        <v>54400</v>
      </c>
    </row>
    <row r="80" spans="1:8">
      <c r="A80" s="1" t="s">
        <v>99</v>
      </c>
      <c r="B80" s="2">
        <v>0.1789222359657288</v>
      </c>
      <c r="C80" s="1">
        <v>296</v>
      </c>
      <c r="D80" s="1">
        <v>0</v>
      </c>
      <c r="E80" s="1">
        <v>296</v>
      </c>
      <c r="F80" s="1">
        <v>0</v>
      </c>
      <c r="G80" s="1">
        <v>0</v>
      </c>
      <c r="H80" s="1">
        <v>0</v>
      </c>
    </row>
    <row r="81" spans="1:8">
      <c r="A81" s="1" t="s">
        <v>100</v>
      </c>
      <c r="B81" s="2">
        <v>0.1777133047580719</v>
      </c>
      <c r="C81" s="1">
        <v>294</v>
      </c>
      <c r="D81" s="1">
        <v>0</v>
      </c>
      <c r="E81" s="1">
        <v>294</v>
      </c>
      <c r="F81" s="1">
        <v>0</v>
      </c>
      <c r="G81" s="1">
        <v>0</v>
      </c>
      <c r="H81" s="1">
        <v>0</v>
      </c>
    </row>
    <row r="82" spans="1:8">
      <c r="A82" s="1" t="s">
        <v>58</v>
      </c>
      <c r="B82" s="2">
        <v>0.1777133047580719</v>
      </c>
      <c r="C82" s="1">
        <v>294</v>
      </c>
      <c r="D82" s="1">
        <v>4</v>
      </c>
      <c r="E82" s="1">
        <v>294</v>
      </c>
      <c r="F82" s="1">
        <v>0</v>
      </c>
      <c r="G82" s="1">
        <v>0</v>
      </c>
      <c r="H82" s="1">
        <v>4</v>
      </c>
    </row>
    <row r="83" spans="1:8">
      <c r="A83" s="1" t="s">
        <v>44</v>
      </c>
      <c r="B83" s="2">
        <v>0.175295427441597</v>
      </c>
      <c r="C83" s="1">
        <v>290</v>
      </c>
      <c r="D83" s="1">
        <v>8</v>
      </c>
      <c r="E83" s="1">
        <v>258</v>
      </c>
      <c r="F83" s="1">
        <v>24</v>
      </c>
      <c r="G83" s="1">
        <v>8</v>
      </c>
      <c r="H83" s="1">
        <v>0</v>
      </c>
    </row>
    <row r="84" spans="1:8">
      <c r="A84" s="1" t="s">
        <v>101</v>
      </c>
      <c r="B84" s="2">
        <v>0.175295427441597</v>
      </c>
      <c r="C84" s="1">
        <v>290</v>
      </c>
      <c r="D84" s="1">
        <v>0</v>
      </c>
      <c r="E84" s="1">
        <v>290</v>
      </c>
      <c r="F84" s="1">
        <v>0</v>
      </c>
      <c r="G84" s="1">
        <v>0</v>
      </c>
      <c r="H84" s="1">
        <v>0</v>
      </c>
    </row>
    <row r="85" spans="1:8">
      <c r="A85" s="1" t="s">
        <v>27</v>
      </c>
      <c r="B85" s="2">
        <v>0.1668328940868378</v>
      </c>
      <c r="C85" s="1">
        <v>276</v>
      </c>
      <c r="D85" s="1">
        <v>44</v>
      </c>
      <c r="E85" s="1">
        <v>232</v>
      </c>
      <c r="F85" s="1">
        <v>0</v>
      </c>
      <c r="G85" s="1">
        <v>44</v>
      </c>
      <c r="H85" s="1">
        <v>0</v>
      </c>
    </row>
    <row r="86" spans="1:8">
      <c r="A86" s="1" t="s">
        <v>102</v>
      </c>
      <c r="B86" s="2">
        <v>0.1547435522079468</v>
      </c>
      <c r="C86" s="1">
        <v>256</v>
      </c>
      <c r="D86" s="1">
        <v>0</v>
      </c>
      <c r="E86" s="1">
        <v>0</v>
      </c>
      <c r="F86" s="1">
        <v>256</v>
      </c>
      <c r="G86" s="1">
        <v>0</v>
      </c>
      <c r="H86" s="1">
        <v>0</v>
      </c>
    </row>
    <row r="87" spans="1:8">
      <c r="A87" s="1" t="s">
        <v>103</v>
      </c>
      <c r="B87" s="2">
        <v>0.1547435522079468</v>
      </c>
      <c r="C87" s="1">
        <v>256</v>
      </c>
      <c r="D87" s="1">
        <v>0</v>
      </c>
      <c r="E87" s="1">
        <v>256</v>
      </c>
      <c r="F87" s="1">
        <v>0</v>
      </c>
      <c r="G87" s="1">
        <v>0</v>
      </c>
      <c r="H87" s="1">
        <v>0</v>
      </c>
    </row>
    <row r="88" spans="1:8">
      <c r="A88" s="1" t="s">
        <v>31</v>
      </c>
      <c r="B88" s="2">
        <v>0.1523256897926331</v>
      </c>
      <c r="C88" s="1">
        <v>252</v>
      </c>
      <c r="D88" s="1">
        <v>24</v>
      </c>
      <c r="E88" s="1">
        <v>228</v>
      </c>
      <c r="F88" s="1">
        <v>0</v>
      </c>
      <c r="G88" s="1">
        <v>24</v>
      </c>
      <c r="H88" s="1">
        <v>0</v>
      </c>
    </row>
    <row r="89" spans="1:8">
      <c r="A89" s="1" t="s">
        <v>104</v>
      </c>
      <c r="B89" s="2">
        <v>0.1499078124761581</v>
      </c>
      <c r="C89" s="1">
        <v>248</v>
      </c>
      <c r="D89" s="1">
        <v>0</v>
      </c>
      <c r="E89" s="1">
        <v>248</v>
      </c>
      <c r="F89" s="1">
        <v>0</v>
      </c>
      <c r="G89" s="1">
        <v>0</v>
      </c>
      <c r="H89" s="1">
        <v>0</v>
      </c>
    </row>
    <row r="90" spans="1:8">
      <c r="A90" s="1" t="s">
        <v>105</v>
      </c>
      <c r="B90" s="2">
        <v>0.1450720876455307</v>
      </c>
      <c r="C90" s="1">
        <v>240</v>
      </c>
      <c r="D90" s="1">
        <v>0</v>
      </c>
      <c r="E90" s="1">
        <v>240</v>
      </c>
      <c r="F90" s="1">
        <v>0</v>
      </c>
      <c r="G90" s="1">
        <v>0</v>
      </c>
      <c r="H90" s="1">
        <v>0</v>
      </c>
    </row>
    <row r="91" spans="1:8">
      <c r="A91" s="1" t="s">
        <v>106</v>
      </c>
      <c r="B91" s="2">
        <v>0.1426542103290558</v>
      </c>
      <c r="C91" s="1">
        <v>236</v>
      </c>
      <c r="D91" s="1">
        <v>0</v>
      </c>
      <c r="E91" s="1">
        <v>228</v>
      </c>
      <c r="F91" s="1">
        <v>8</v>
      </c>
      <c r="G91" s="1">
        <v>0</v>
      </c>
      <c r="H91" s="1">
        <v>0</v>
      </c>
    </row>
    <row r="92" spans="1:8">
      <c r="A92" s="1" t="s">
        <v>107</v>
      </c>
      <c r="B92" s="2">
        <v>0.1414452791213989</v>
      </c>
      <c r="C92" s="1">
        <v>234</v>
      </c>
      <c r="D92" s="1">
        <v>0</v>
      </c>
      <c r="E92" s="1">
        <v>234</v>
      </c>
      <c r="F92" s="1">
        <v>0</v>
      </c>
      <c r="G92" s="1">
        <v>0</v>
      </c>
      <c r="H92" s="1">
        <v>0</v>
      </c>
    </row>
    <row r="93" spans="1:8">
      <c r="A93" s="1" t="s">
        <v>108</v>
      </c>
      <c r="B93" s="2">
        <v>0.1354006081819534</v>
      </c>
      <c r="C93" s="1">
        <v>224</v>
      </c>
      <c r="D93" s="1">
        <v>0</v>
      </c>
      <c r="E93" s="1">
        <v>224</v>
      </c>
      <c r="F93" s="1">
        <v>0</v>
      </c>
      <c r="G93" s="1">
        <v>0</v>
      </c>
      <c r="H93" s="1">
        <v>0</v>
      </c>
    </row>
    <row r="94" spans="1:8">
      <c r="A94" s="1" t="s">
        <v>109</v>
      </c>
      <c r="B94" s="2">
        <v>0.1341916769742966</v>
      </c>
      <c r="C94" s="1">
        <v>222</v>
      </c>
      <c r="D94" s="1">
        <v>0</v>
      </c>
      <c r="E94" s="1">
        <v>198</v>
      </c>
      <c r="F94" s="1">
        <v>24</v>
      </c>
      <c r="G94" s="1">
        <v>0</v>
      </c>
      <c r="H94" s="1">
        <v>0</v>
      </c>
    </row>
    <row r="95" spans="1:8">
      <c r="A95" s="1" t="s">
        <v>110</v>
      </c>
      <c r="B95" s="2">
        <v>0.1329827457666397</v>
      </c>
      <c r="C95" s="1">
        <v>220</v>
      </c>
      <c r="D95" s="1">
        <v>0</v>
      </c>
      <c r="E95" s="1">
        <v>220</v>
      </c>
      <c r="F95" s="1">
        <v>0</v>
      </c>
      <c r="G95" s="1">
        <v>0</v>
      </c>
      <c r="H95" s="1">
        <v>0</v>
      </c>
    </row>
    <row r="96" spans="1:8">
      <c r="A96" s="1" t="s">
        <v>40</v>
      </c>
      <c r="B96" s="2">
        <v>0.1329827457666397</v>
      </c>
      <c r="C96" s="1">
        <v>220</v>
      </c>
      <c r="D96" s="1">
        <v>12</v>
      </c>
      <c r="E96" s="1">
        <v>220</v>
      </c>
      <c r="F96" s="1">
        <v>0</v>
      </c>
      <c r="G96" s="1">
        <v>0</v>
      </c>
      <c r="H96" s="1">
        <v>12</v>
      </c>
    </row>
    <row r="97" spans="1:8">
      <c r="A97" s="1" t="s">
        <v>41</v>
      </c>
      <c r="B97" s="2">
        <v>0.1311693340539932</v>
      </c>
      <c r="C97" s="1">
        <v>217</v>
      </c>
      <c r="D97" s="1">
        <v>9</v>
      </c>
      <c r="E97" s="1">
        <v>212</v>
      </c>
      <c r="F97" s="1">
        <v>0</v>
      </c>
      <c r="G97" s="1">
        <v>5</v>
      </c>
      <c r="H97" s="1">
        <v>4</v>
      </c>
    </row>
    <row r="98" spans="1:8">
      <c r="A98" s="1" t="s">
        <v>111</v>
      </c>
      <c r="B98" s="2">
        <v>0.1257291436195374</v>
      </c>
      <c r="C98" s="1">
        <v>208</v>
      </c>
      <c r="D98" s="1">
        <v>0</v>
      </c>
      <c r="E98" s="1">
        <v>208</v>
      </c>
      <c r="F98" s="1">
        <v>0</v>
      </c>
      <c r="G98" s="1">
        <v>0</v>
      </c>
      <c r="H98" s="1">
        <v>0</v>
      </c>
    </row>
    <row r="99" spans="1:8">
      <c r="A99" s="1" t="s">
        <v>112</v>
      </c>
      <c r="B99" s="2">
        <v>0.1184755340218544</v>
      </c>
      <c r="C99" s="1">
        <v>196</v>
      </c>
      <c r="D99" s="1">
        <v>0</v>
      </c>
      <c r="E99" s="1">
        <v>188</v>
      </c>
      <c r="F99" s="1">
        <v>8</v>
      </c>
      <c r="G99" s="1">
        <v>0</v>
      </c>
      <c r="H99" s="1">
        <v>0</v>
      </c>
    </row>
    <row r="100" spans="1:8">
      <c r="A100" s="1" t="s">
        <v>113</v>
      </c>
      <c r="B100" s="2">
        <v>0.1136398017406464</v>
      </c>
      <c r="C100" s="1">
        <v>188</v>
      </c>
      <c r="D100" s="1">
        <v>0</v>
      </c>
      <c r="E100" s="1">
        <v>148</v>
      </c>
      <c r="F100" s="1">
        <v>40</v>
      </c>
      <c r="G100" s="1">
        <v>0</v>
      </c>
      <c r="H100" s="1">
        <v>0</v>
      </c>
    </row>
    <row r="101" spans="1:8">
      <c r="A101" s="1" t="s">
        <v>39</v>
      </c>
      <c r="B101" s="2">
        <v>0.1124308630824089</v>
      </c>
      <c r="C101" s="1">
        <v>186</v>
      </c>
      <c r="D101" s="1">
        <v>12</v>
      </c>
      <c r="E101" s="1">
        <v>174</v>
      </c>
      <c r="F101" s="1">
        <v>0</v>
      </c>
      <c r="G101" s="1">
        <v>12</v>
      </c>
      <c r="H101" s="1">
        <v>0</v>
      </c>
    </row>
    <row r="102" spans="1:8">
      <c r="A102" s="1" t="s">
        <v>114</v>
      </c>
      <c r="B102" s="2">
        <v>0.1075951308012009</v>
      </c>
      <c r="C102" s="1">
        <v>178</v>
      </c>
      <c r="D102" s="1">
        <v>0</v>
      </c>
      <c r="E102" s="1">
        <v>178</v>
      </c>
      <c r="F102" s="1">
        <v>0</v>
      </c>
      <c r="G102" s="1">
        <v>0</v>
      </c>
      <c r="H102" s="1">
        <v>0</v>
      </c>
    </row>
    <row r="103" spans="1:8">
      <c r="A103" s="1" t="s">
        <v>48</v>
      </c>
      <c r="B103" s="2">
        <v>0.1063861921429634</v>
      </c>
      <c r="C103" s="1">
        <v>176</v>
      </c>
      <c r="D103" s="1">
        <v>4</v>
      </c>
      <c r="E103" s="1">
        <v>144</v>
      </c>
      <c r="F103" s="1">
        <v>28</v>
      </c>
      <c r="G103" s="1">
        <v>4</v>
      </c>
      <c r="H103" s="1">
        <v>0</v>
      </c>
    </row>
    <row r="104" spans="1:8">
      <c r="A104" s="1" t="s">
        <v>115</v>
      </c>
      <c r="B104" s="2">
        <v>0.1063861921429634</v>
      </c>
      <c r="C104" s="1">
        <v>176</v>
      </c>
      <c r="D104" s="1">
        <v>0</v>
      </c>
      <c r="E104" s="1">
        <v>176</v>
      </c>
      <c r="F104" s="1">
        <v>0</v>
      </c>
      <c r="G104" s="1">
        <v>0</v>
      </c>
      <c r="H104" s="1">
        <v>0</v>
      </c>
    </row>
    <row r="105" spans="1:8">
      <c r="A105" s="1" t="s">
        <v>116</v>
      </c>
      <c r="B105" s="2">
        <v>0.1039683222770691</v>
      </c>
      <c r="C105" s="1">
        <v>172</v>
      </c>
      <c r="D105" s="1">
        <v>0</v>
      </c>
      <c r="E105" s="1">
        <v>172</v>
      </c>
      <c r="F105" s="1">
        <v>0</v>
      </c>
      <c r="G105" s="1">
        <v>0</v>
      </c>
      <c r="H105" s="1">
        <v>0</v>
      </c>
    </row>
    <row r="106" spans="1:8">
      <c r="A106" s="1" t="s">
        <v>117</v>
      </c>
      <c r="B106" s="2">
        <v>0.09429685026407242</v>
      </c>
      <c r="C106" s="1">
        <v>156</v>
      </c>
      <c r="D106" s="1">
        <v>0</v>
      </c>
      <c r="E106" s="1">
        <v>156</v>
      </c>
      <c r="F106" s="1">
        <v>0</v>
      </c>
      <c r="G106" s="1">
        <v>0</v>
      </c>
      <c r="H106" s="1">
        <v>0</v>
      </c>
    </row>
    <row r="107" spans="1:8">
      <c r="A107" s="1" t="s">
        <v>45</v>
      </c>
      <c r="B107" s="2">
        <v>0.09429685026407242</v>
      </c>
      <c r="C107" s="1">
        <v>156</v>
      </c>
      <c r="D107" s="1">
        <v>8</v>
      </c>
      <c r="E107" s="1">
        <v>148</v>
      </c>
      <c r="F107" s="1">
        <v>0</v>
      </c>
      <c r="G107" s="1">
        <v>8</v>
      </c>
      <c r="H107" s="1">
        <v>0</v>
      </c>
    </row>
    <row r="108" spans="1:8">
      <c r="A108" s="1" t="s">
        <v>118</v>
      </c>
      <c r="B108" s="2">
        <v>0.08341644704341888</v>
      </c>
      <c r="C108" s="1">
        <v>138</v>
      </c>
      <c r="D108" s="1">
        <v>0</v>
      </c>
      <c r="E108" s="1">
        <v>138</v>
      </c>
      <c r="F108" s="1">
        <v>0</v>
      </c>
      <c r="G108" s="1">
        <v>0</v>
      </c>
      <c r="H108" s="1">
        <v>0</v>
      </c>
    </row>
    <row r="109" spans="1:8">
      <c r="A109" s="1" t="s">
        <v>119</v>
      </c>
      <c r="B109" s="2">
        <v>0.08341644704341888</v>
      </c>
      <c r="C109" s="1">
        <v>138</v>
      </c>
      <c r="D109" s="1">
        <v>0</v>
      </c>
      <c r="E109" s="1">
        <v>138</v>
      </c>
      <c r="F109" s="1">
        <v>0</v>
      </c>
      <c r="G109" s="1">
        <v>0</v>
      </c>
      <c r="H109" s="1">
        <v>0</v>
      </c>
    </row>
    <row r="110" spans="1:8">
      <c r="A110" s="1" t="s">
        <v>120</v>
      </c>
      <c r="B110" s="2">
        <v>0.08341644704341888</v>
      </c>
      <c r="C110" s="1">
        <v>138</v>
      </c>
      <c r="D110" s="1">
        <v>0</v>
      </c>
      <c r="E110" s="1">
        <v>138</v>
      </c>
      <c r="F110" s="1">
        <v>0</v>
      </c>
      <c r="G110" s="1">
        <v>0</v>
      </c>
      <c r="H110" s="1">
        <v>0</v>
      </c>
    </row>
    <row r="111" spans="1:8">
      <c r="A111" s="1" t="s">
        <v>121</v>
      </c>
      <c r="B111" s="2">
        <v>0.07978964596986771</v>
      </c>
      <c r="C111" s="1">
        <v>132</v>
      </c>
      <c r="D111" s="1">
        <v>0</v>
      </c>
      <c r="E111" s="1">
        <v>132</v>
      </c>
      <c r="F111" s="1">
        <v>0</v>
      </c>
      <c r="G111" s="1">
        <v>0</v>
      </c>
      <c r="H111" s="1">
        <v>0</v>
      </c>
    </row>
    <row r="112" spans="1:8">
      <c r="A112" s="1" t="s">
        <v>122</v>
      </c>
      <c r="B112" s="2">
        <v>0.07737177610397339</v>
      </c>
      <c r="C112" s="1">
        <v>128</v>
      </c>
      <c r="D112" s="1">
        <v>0</v>
      </c>
      <c r="E112" s="1">
        <v>128</v>
      </c>
      <c r="F112" s="1">
        <v>0</v>
      </c>
      <c r="G112" s="1">
        <v>0</v>
      </c>
      <c r="H112" s="1">
        <v>0</v>
      </c>
    </row>
    <row r="113" spans="1:8">
      <c r="A113" s="1" t="s">
        <v>123</v>
      </c>
      <c r="B113" s="2">
        <v>0.07495390623807907</v>
      </c>
      <c r="C113" s="1">
        <v>124</v>
      </c>
      <c r="D113" s="1">
        <v>0</v>
      </c>
      <c r="E113" s="1">
        <v>124</v>
      </c>
      <c r="F113" s="1">
        <v>0</v>
      </c>
      <c r="G113" s="1">
        <v>0</v>
      </c>
      <c r="H113" s="1">
        <v>0</v>
      </c>
    </row>
    <row r="114" spans="1:8">
      <c r="A114" s="1" t="s">
        <v>124</v>
      </c>
      <c r="B114" s="2">
        <v>0.07495390623807907</v>
      </c>
      <c r="C114" s="1">
        <v>124</v>
      </c>
      <c r="D114" s="1">
        <v>0</v>
      </c>
      <c r="E114" s="1">
        <v>124</v>
      </c>
      <c r="F114" s="1">
        <v>0</v>
      </c>
      <c r="G114" s="1">
        <v>0</v>
      </c>
      <c r="H114" s="1">
        <v>0</v>
      </c>
    </row>
    <row r="115" spans="1:8">
      <c r="A115" s="1" t="s">
        <v>125</v>
      </c>
      <c r="B115" s="2">
        <v>0.07495390623807907</v>
      </c>
      <c r="C115" s="1">
        <v>124</v>
      </c>
      <c r="D115" s="1">
        <v>0</v>
      </c>
      <c r="E115" s="1">
        <v>124</v>
      </c>
      <c r="F115" s="1">
        <v>0</v>
      </c>
      <c r="G115" s="1">
        <v>0</v>
      </c>
      <c r="H115" s="1">
        <v>0</v>
      </c>
    </row>
    <row r="116" spans="1:8">
      <c r="A116" s="1" t="s">
        <v>126</v>
      </c>
      <c r="B116" s="2">
        <v>0.07374497503042221</v>
      </c>
      <c r="C116" s="1">
        <v>122</v>
      </c>
      <c r="D116" s="1">
        <v>0</v>
      </c>
      <c r="E116" s="1">
        <v>122</v>
      </c>
      <c r="F116" s="1">
        <v>0</v>
      </c>
      <c r="G116" s="1">
        <v>0</v>
      </c>
      <c r="H116" s="1">
        <v>0</v>
      </c>
    </row>
    <row r="117" spans="1:8">
      <c r="A117" s="1" t="s">
        <v>127</v>
      </c>
      <c r="B117" s="2">
        <v>0.07253604382276535</v>
      </c>
      <c r="C117" s="1">
        <v>120</v>
      </c>
      <c r="D117" s="1">
        <v>0</v>
      </c>
      <c r="E117" s="1">
        <v>120</v>
      </c>
      <c r="F117" s="1">
        <v>0</v>
      </c>
      <c r="G117" s="1">
        <v>0</v>
      </c>
      <c r="H117" s="1">
        <v>0</v>
      </c>
    </row>
    <row r="118" spans="1:8">
      <c r="A118" s="1" t="s">
        <v>30</v>
      </c>
      <c r="B118" s="2">
        <v>0.07253604382276535</v>
      </c>
      <c r="C118" s="1">
        <v>120</v>
      </c>
      <c r="D118" s="1">
        <v>24</v>
      </c>
      <c r="E118" s="1">
        <v>96</v>
      </c>
      <c r="F118" s="1">
        <v>0</v>
      </c>
      <c r="G118" s="1">
        <v>24</v>
      </c>
      <c r="H118" s="1">
        <v>0</v>
      </c>
    </row>
    <row r="119" spans="1:8">
      <c r="A119" s="1" t="s">
        <v>20</v>
      </c>
      <c r="B119" s="2">
        <v>0.07253604382276535</v>
      </c>
      <c r="C119" s="1">
        <v>120</v>
      </c>
      <c r="D119" s="1">
        <v>64</v>
      </c>
      <c r="E119" s="1">
        <v>120</v>
      </c>
      <c r="F119" s="1">
        <v>0</v>
      </c>
      <c r="G119" s="1">
        <v>0</v>
      </c>
      <c r="H119" s="1">
        <v>64</v>
      </c>
    </row>
    <row r="120" spans="1:8">
      <c r="A120" s="1" t="s">
        <v>128</v>
      </c>
      <c r="B120" s="2">
        <v>0.07253604382276535</v>
      </c>
      <c r="C120" s="1">
        <v>120</v>
      </c>
      <c r="D120" s="1">
        <v>0</v>
      </c>
      <c r="E120" s="1">
        <v>120</v>
      </c>
      <c r="F120" s="1">
        <v>0</v>
      </c>
      <c r="G120" s="1">
        <v>0</v>
      </c>
      <c r="H120" s="1">
        <v>0</v>
      </c>
    </row>
    <row r="121" spans="1:8">
      <c r="A121" s="1" t="s">
        <v>12</v>
      </c>
      <c r="B121" s="2">
        <v>0.07132710516452789</v>
      </c>
      <c r="C121" s="1">
        <v>118</v>
      </c>
      <c r="D121" s="1">
        <v>104</v>
      </c>
      <c r="E121" s="1">
        <v>102</v>
      </c>
      <c r="F121" s="1">
        <v>0</v>
      </c>
      <c r="G121" s="1">
        <v>16</v>
      </c>
      <c r="H121" s="1">
        <v>88</v>
      </c>
    </row>
    <row r="122" spans="1:8">
      <c r="A122" s="1" t="s">
        <v>129</v>
      </c>
      <c r="B122" s="2">
        <v>0.07011817395687103</v>
      </c>
      <c r="C122" s="1">
        <v>116</v>
      </c>
      <c r="D122" s="1">
        <v>0</v>
      </c>
      <c r="E122" s="1">
        <v>116</v>
      </c>
      <c r="F122" s="1">
        <v>0</v>
      </c>
      <c r="G122" s="1">
        <v>0</v>
      </c>
      <c r="H122" s="1">
        <v>0</v>
      </c>
    </row>
    <row r="123" spans="1:8">
      <c r="A123" s="1" t="s">
        <v>51</v>
      </c>
      <c r="B123" s="2">
        <v>0.07011817395687103</v>
      </c>
      <c r="C123" s="1">
        <v>116</v>
      </c>
      <c r="D123" s="1">
        <v>4</v>
      </c>
      <c r="E123" s="1">
        <v>112</v>
      </c>
      <c r="F123" s="1">
        <v>0</v>
      </c>
      <c r="G123" s="1">
        <v>4</v>
      </c>
      <c r="H123" s="1">
        <v>0</v>
      </c>
    </row>
    <row r="124" spans="1:8">
      <c r="A124" s="1" t="s">
        <v>130</v>
      </c>
      <c r="B124" s="2">
        <v>0.06770030409097672</v>
      </c>
      <c r="C124" s="1">
        <v>112</v>
      </c>
      <c r="D124" s="1">
        <v>0</v>
      </c>
      <c r="E124" s="1">
        <v>112</v>
      </c>
      <c r="F124" s="1">
        <v>0</v>
      </c>
      <c r="G124" s="1">
        <v>0</v>
      </c>
      <c r="H124" s="1">
        <v>0</v>
      </c>
    </row>
    <row r="125" spans="1:8">
      <c r="A125" s="1" t="s">
        <v>131</v>
      </c>
      <c r="B125" s="2">
        <v>0.06165563687682152</v>
      </c>
      <c r="C125" s="1">
        <v>102</v>
      </c>
      <c r="D125" s="1">
        <v>0</v>
      </c>
      <c r="E125" s="1">
        <v>102</v>
      </c>
      <c r="F125" s="1">
        <v>0</v>
      </c>
      <c r="G125" s="1">
        <v>0</v>
      </c>
      <c r="H125" s="1">
        <v>0</v>
      </c>
    </row>
    <row r="126" spans="1:8">
      <c r="A126" s="1" t="s">
        <v>132</v>
      </c>
      <c r="B126" s="2">
        <v>0.06044670194387436</v>
      </c>
      <c r="C126" s="1">
        <v>100</v>
      </c>
      <c r="D126" s="1">
        <v>0</v>
      </c>
      <c r="E126" s="1">
        <v>100</v>
      </c>
      <c r="F126" s="1">
        <v>0</v>
      </c>
      <c r="G126" s="1">
        <v>0</v>
      </c>
      <c r="H126" s="1">
        <v>0</v>
      </c>
    </row>
    <row r="127" spans="1:8">
      <c r="A127" s="1" t="s">
        <v>133</v>
      </c>
      <c r="B127" s="2">
        <v>0.06044670194387436</v>
      </c>
      <c r="C127" s="1">
        <v>100</v>
      </c>
      <c r="D127" s="1">
        <v>0</v>
      </c>
      <c r="E127" s="1">
        <v>100</v>
      </c>
      <c r="F127" s="1">
        <v>0</v>
      </c>
      <c r="G127" s="1">
        <v>0</v>
      </c>
      <c r="H127" s="1">
        <v>0</v>
      </c>
    </row>
    <row r="128" spans="1:8">
      <c r="A128" s="1" t="s">
        <v>134</v>
      </c>
      <c r="B128" s="2">
        <v>0.05802883207798004</v>
      </c>
      <c r="C128" s="1">
        <v>96</v>
      </c>
      <c r="D128" s="1">
        <v>0</v>
      </c>
      <c r="E128" s="1">
        <v>96</v>
      </c>
      <c r="F128" s="1">
        <v>0</v>
      </c>
      <c r="G128" s="1">
        <v>0</v>
      </c>
      <c r="H128" s="1">
        <v>0</v>
      </c>
    </row>
    <row r="129" spans="1:8">
      <c r="A129" s="1" t="s">
        <v>135</v>
      </c>
      <c r="B129" s="2">
        <v>0.05681990087032318</v>
      </c>
      <c r="C129" s="1">
        <v>94</v>
      </c>
      <c r="D129" s="1">
        <v>0</v>
      </c>
      <c r="E129" s="1">
        <v>94</v>
      </c>
      <c r="F129" s="1">
        <v>0</v>
      </c>
      <c r="G129" s="1">
        <v>0</v>
      </c>
      <c r="H129" s="1">
        <v>0</v>
      </c>
    </row>
    <row r="130" spans="1:8">
      <c r="A130" s="1" t="s">
        <v>55</v>
      </c>
      <c r="B130" s="2">
        <v>0.05561096593737602</v>
      </c>
      <c r="C130" s="1">
        <v>92</v>
      </c>
      <c r="D130" s="1">
        <v>4</v>
      </c>
      <c r="E130" s="1">
        <v>88</v>
      </c>
      <c r="F130" s="1">
        <v>0</v>
      </c>
      <c r="G130" s="1">
        <v>4</v>
      </c>
      <c r="H130" s="1">
        <v>0</v>
      </c>
    </row>
    <row r="131" spans="1:8">
      <c r="A131" s="1" t="s">
        <v>136</v>
      </c>
      <c r="B131" s="2">
        <v>0.05440203100442886</v>
      </c>
      <c r="C131" s="1">
        <v>90</v>
      </c>
      <c r="D131" s="1">
        <v>0</v>
      </c>
      <c r="E131" s="1">
        <v>90</v>
      </c>
      <c r="F131" s="1">
        <v>0</v>
      </c>
      <c r="G131" s="1">
        <v>0</v>
      </c>
      <c r="H131" s="1">
        <v>0</v>
      </c>
    </row>
    <row r="132" spans="1:8">
      <c r="A132" s="1" t="s">
        <v>137</v>
      </c>
      <c r="B132" s="2">
        <v>0.05319309607148171</v>
      </c>
      <c r="C132" s="1">
        <v>88</v>
      </c>
      <c r="D132" s="1">
        <v>0</v>
      </c>
      <c r="E132" s="1">
        <v>88</v>
      </c>
      <c r="F132" s="1">
        <v>0</v>
      </c>
      <c r="G132" s="1">
        <v>0</v>
      </c>
      <c r="H132" s="1">
        <v>0</v>
      </c>
    </row>
    <row r="133" spans="1:8">
      <c r="A133" s="1" t="s">
        <v>35</v>
      </c>
      <c r="B133" s="2">
        <v>0.05319309607148171</v>
      </c>
      <c r="C133" s="1">
        <v>88</v>
      </c>
      <c r="D133" s="1">
        <v>16</v>
      </c>
      <c r="E133" s="1">
        <v>84</v>
      </c>
      <c r="F133" s="1">
        <v>0</v>
      </c>
      <c r="G133" s="1">
        <v>4</v>
      </c>
      <c r="H133" s="1">
        <v>12</v>
      </c>
    </row>
    <row r="134" spans="1:8">
      <c r="A134" s="1" t="s">
        <v>138</v>
      </c>
      <c r="B134" s="2">
        <v>0.05077522993087769</v>
      </c>
      <c r="C134" s="1">
        <v>84</v>
      </c>
      <c r="D134" s="1">
        <v>0</v>
      </c>
      <c r="E134" s="1">
        <v>84</v>
      </c>
      <c r="F134" s="1">
        <v>0</v>
      </c>
      <c r="G134" s="1">
        <v>0</v>
      </c>
      <c r="H134" s="1">
        <v>0</v>
      </c>
    </row>
    <row r="135" spans="1:8">
      <c r="A135" s="1" t="s">
        <v>139</v>
      </c>
      <c r="B135" s="2">
        <v>0.05077522993087769</v>
      </c>
      <c r="C135" s="1">
        <v>84</v>
      </c>
      <c r="D135" s="1">
        <v>0</v>
      </c>
      <c r="E135" s="1">
        <v>84</v>
      </c>
      <c r="F135" s="1">
        <v>0</v>
      </c>
      <c r="G135" s="1">
        <v>0</v>
      </c>
      <c r="H135" s="1">
        <v>0</v>
      </c>
    </row>
    <row r="136" spans="1:8">
      <c r="A136" s="1" t="s">
        <v>140</v>
      </c>
      <c r="B136" s="2">
        <v>0.04956629499793053</v>
      </c>
      <c r="C136" s="1">
        <v>82</v>
      </c>
      <c r="D136" s="1">
        <v>0</v>
      </c>
      <c r="E136" s="1">
        <v>82</v>
      </c>
      <c r="F136" s="1">
        <v>0</v>
      </c>
      <c r="G136" s="1">
        <v>0</v>
      </c>
      <c r="H136" s="1">
        <v>0</v>
      </c>
    </row>
    <row r="137" spans="1:8">
      <c r="A137" s="1" t="s">
        <v>141</v>
      </c>
      <c r="B137" s="2">
        <v>0.04714842513203621</v>
      </c>
      <c r="C137" s="1">
        <v>78</v>
      </c>
      <c r="D137" s="1">
        <v>0</v>
      </c>
      <c r="E137" s="1">
        <v>78</v>
      </c>
      <c r="F137" s="1">
        <v>0</v>
      </c>
      <c r="G137" s="1">
        <v>0</v>
      </c>
      <c r="H137" s="1">
        <v>0</v>
      </c>
    </row>
    <row r="138" spans="1:8">
      <c r="A138" s="1" t="s">
        <v>142</v>
      </c>
      <c r="B138" s="2">
        <v>0.04714842513203621</v>
      </c>
      <c r="C138" s="1">
        <v>78</v>
      </c>
      <c r="D138" s="1">
        <v>0</v>
      </c>
      <c r="E138" s="1">
        <v>78</v>
      </c>
      <c r="F138" s="1">
        <v>0</v>
      </c>
      <c r="G138" s="1">
        <v>0</v>
      </c>
      <c r="H138" s="1">
        <v>0</v>
      </c>
    </row>
    <row r="139" spans="1:8">
      <c r="A139" s="1" t="s">
        <v>143</v>
      </c>
      <c r="B139" s="2">
        <v>0.04473055899143219</v>
      </c>
      <c r="C139" s="1">
        <v>74</v>
      </c>
      <c r="D139" s="1">
        <v>0</v>
      </c>
      <c r="E139" s="1">
        <v>74</v>
      </c>
      <c r="F139" s="1">
        <v>0</v>
      </c>
      <c r="G139" s="1">
        <v>0</v>
      </c>
      <c r="H139" s="1">
        <v>0</v>
      </c>
    </row>
    <row r="140" spans="1:8">
      <c r="A140" s="1" t="s">
        <v>144</v>
      </c>
      <c r="B140" s="2">
        <v>0.04352162405848503</v>
      </c>
      <c r="C140" s="1">
        <v>72</v>
      </c>
      <c r="D140" s="1">
        <v>0</v>
      </c>
      <c r="E140" s="1">
        <v>72</v>
      </c>
      <c r="F140" s="1">
        <v>0</v>
      </c>
      <c r="G140" s="1">
        <v>0</v>
      </c>
      <c r="H140" s="1">
        <v>0</v>
      </c>
    </row>
    <row r="141" spans="1:8">
      <c r="A141" s="1" t="s">
        <v>145</v>
      </c>
      <c r="B141" s="2">
        <v>0.04352162405848503</v>
      </c>
      <c r="C141" s="1">
        <v>72</v>
      </c>
      <c r="D141" s="1">
        <v>0</v>
      </c>
      <c r="E141" s="1">
        <v>44</v>
      </c>
      <c r="F141" s="1">
        <v>28</v>
      </c>
      <c r="G141" s="1">
        <v>0</v>
      </c>
      <c r="H141" s="1">
        <v>0</v>
      </c>
    </row>
    <row r="142" spans="1:8">
      <c r="A142" s="1" t="s">
        <v>146</v>
      </c>
      <c r="B142" s="2">
        <v>0.04352162405848503</v>
      </c>
      <c r="C142" s="1">
        <v>72</v>
      </c>
      <c r="D142" s="1">
        <v>0</v>
      </c>
      <c r="E142" s="1">
        <v>72</v>
      </c>
      <c r="F142" s="1">
        <v>0</v>
      </c>
      <c r="G142" s="1">
        <v>0</v>
      </c>
      <c r="H142" s="1">
        <v>0</v>
      </c>
    </row>
    <row r="143" spans="1:8">
      <c r="A143" s="1" t="s">
        <v>147</v>
      </c>
      <c r="B143" s="2">
        <v>0.04352162405848503</v>
      </c>
      <c r="C143" s="1">
        <v>72</v>
      </c>
      <c r="D143" s="1">
        <v>0</v>
      </c>
      <c r="E143" s="1">
        <v>72</v>
      </c>
      <c r="F143" s="1">
        <v>0</v>
      </c>
      <c r="G143" s="1">
        <v>0</v>
      </c>
      <c r="H143" s="1">
        <v>0</v>
      </c>
    </row>
    <row r="144" spans="1:8">
      <c r="A144" s="1" t="s">
        <v>148</v>
      </c>
      <c r="B144" s="2">
        <v>0.04110375791788101</v>
      </c>
      <c r="C144" s="1">
        <v>68</v>
      </c>
      <c r="D144" s="1">
        <v>0</v>
      </c>
      <c r="E144" s="1">
        <v>68</v>
      </c>
      <c r="F144" s="1">
        <v>0</v>
      </c>
      <c r="G144" s="1">
        <v>0</v>
      </c>
      <c r="H144" s="1">
        <v>0</v>
      </c>
    </row>
    <row r="145" spans="1:8">
      <c r="A145" s="1" t="s">
        <v>149</v>
      </c>
      <c r="B145" s="2">
        <v>0.04110375791788101</v>
      </c>
      <c r="C145" s="1">
        <v>68</v>
      </c>
      <c r="D145" s="1">
        <v>0</v>
      </c>
      <c r="E145" s="1">
        <v>68</v>
      </c>
      <c r="F145" s="1">
        <v>0</v>
      </c>
      <c r="G145" s="1">
        <v>0</v>
      </c>
      <c r="H145" s="1">
        <v>0</v>
      </c>
    </row>
    <row r="146" spans="1:8">
      <c r="A146" s="1" t="s">
        <v>150</v>
      </c>
      <c r="B146" s="2">
        <v>0.03868588805198669</v>
      </c>
      <c r="C146" s="1">
        <v>64</v>
      </c>
      <c r="D146" s="1">
        <v>0</v>
      </c>
      <c r="E146" s="1">
        <v>64</v>
      </c>
      <c r="F146" s="1">
        <v>0</v>
      </c>
      <c r="G146" s="1">
        <v>0</v>
      </c>
      <c r="H146" s="1">
        <v>0</v>
      </c>
    </row>
    <row r="147" spans="1:8">
      <c r="A147" s="1" t="s">
        <v>19</v>
      </c>
      <c r="B147" s="2">
        <v>0.03868588805198669</v>
      </c>
      <c r="C147" s="1">
        <v>64</v>
      </c>
      <c r="D147" s="1">
        <v>72</v>
      </c>
      <c r="E147" s="1">
        <v>64</v>
      </c>
      <c r="F147" s="1">
        <v>0</v>
      </c>
      <c r="G147" s="1">
        <v>0</v>
      </c>
      <c r="H147" s="1">
        <v>72</v>
      </c>
    </row>
    <row r="148" spans="1:8">
      <c r="A148" s="1" t="s">
        <v>151</v>
      </c>
      <c r="B148" s="2">
        <v>0.03747695311903954</v>
      </c>
      <c r="C148" s="1">
        <v>62</v>
      </c>
      <c r="D148" s="1">
        <v>0</v>
      </c>
      <c r="E148" s="1">
        <v>62</v>
      </c>
      <c r="F148" s="1">
        <v>0</v>
      </c>
      <c r="G148" s="1">
        <v>0</v>
      </c>
      <c r="H148" s="1">
        <v>0</v>
      </c>
    </row>
    <row r="149" spans="1:8">
      <c r="A149" s="1" t="s">
        <v>152</v>
      </c>
      <c r="B149" s="2">
        <v>0.03747695311903954</v>
      </c>
      <c r="C149" s="1">
        <v>62</v>
      </c>
      <c r="D149" s="1">
        <v>0</v>
      </c>
      <c r="E149" s="1">
        <v>62</v>
      </c>
      <c r="F149" s="1">
        <v>0</v>
      </c>
      <c r="G149" s="1">
        <v>0</v>
      </c>
      <c r="H149" s="1">
        <v>0</v>
      </c>
    </row>
    <row r="150" spans="1:8">
      <c r="A150" s="1" t="s">
        <v>153</v>
      </c>
      <c r="B150" s="2">
        <v>0.03626802191138268</v>
      </c>
      <c r="C150" s="1">
        <v>60</v>
      </c>
      <c r="D150" s="1">
        <v>0</v>
      </c>
      <c r="E150" s="1">
        <v>36</v>
      </c>
      <c r="F150" s="1">
        <v>24</v>
      </c>
      <c r="G150" s="1">
        <v>0</v>
      </c>
      <c r="H150" s="1">
        <v>0</v>
      </c>
    </row>
    <row r="151" spans="1:8">
      <c r="A151" s="1" t="s">
        <v>154</v>
      </c>
      <c r="B151" s="2">
        <v>0.03385015204548836</v>
      </c>
      <c r="C151" s="1">
        <v>56</v>
      </c>
      <c r="D151" s="1">
        <v>0</v>
      </c>
      <c r="E151" s="1">
        <v>56</v>
      </c>
      <c r="F151" s="1">
        <v>0</v>
      </c>
      <c r="G151" s="1">
        <v>0</v>
      </c>
      <c r="H151" s="1">
        <v>0</v>
      </c>
    </row>
    <row r="152" spans="1:8">
      <c r="A152" s="1" t="s">
        <v>57</v>
      </c>
      <c r="B152" s="2">
        <v>0.03385015204548836</v>
      </c>
      <c r="C152" s="1">
        <v>56</v>
      </c>
      <c r="D152" s="1">
        <v>4</v>
      </c>
      <c r="E152" s="1">
        <v>52</v>
      </c>
      <c r="F152" s="1">
        <v>0</v>
      </c>
      <c r="G152" s="1">
        <v>4</v>
      </c>
      <c r="H152" s="1">
        <v>0</v>
      </c>
    </row>
    <row r="153" spans="1:8">
      <c r="A153" s="1" t="s">
        <v>155</v>
      </c>
      <c r="B153" s="2">
        <v>0.03143228590488434</v>
      </c>
      <c r="C153" s="1">
        <v>52</v>
      </c>
      <c r="D153" s="1">
        <v>0</v>
      </c>
      <c r="E153" s="1">
        <v>52</v>
      </c>
      <c r="F153" s="1">
        <v>0</v>
      </c>
      <c r="G153" s="1">
        <v>0</v>
      </c>
      <c r="H153" s="1">
        <v>0</v>
      </c>
    </row>
    <row r="154" spans="1:8">
      <c r="A154" s="1" t="s">
        <v>156</v>
      </c>
      <c r="B154" s="2">
        <v>0.03143228590488434</v>
      </c>
      <c r="C154" s="1">
        <v>52</v>
      </c>
      <c r="D154" s="1">
        <v>0</v>
      </c>
      <c r="E154" s="1">
        <v>52</v>
      </c>
      <c r="F154" s="1">
        <v>0</v>
      </c>
      <c r="G154" s="1">
        <v>0</v>
      </c>
      <c r="H154" s="1">
        <v>0</v>
      </c>
    </row>
    <row r="155" spans="1:8">
      <c r="A155" s="1" t="s">
        <v>157</v>
      </c>
      <c r="B155" s="2">
        <v>0.02901441603899002</v>
      </c>
      <c r="C155" s="1">
        <v>48</v>
      </c>
      <c r="D155" s="1">
        <v>0</v>
      </c>
      <c r="E155" s="1">
        <v>48</v>
      </c>
      <c r="F155" s="1">
        <v>0</v>
      </c>
      <c r="G155" s="1">
        <v>0</v>
      </c>
      <c r="H155" s="1">
        <v>0</v>
      </c>
    </row>
    <row r="156" spans="1:8">
      <c r="A156" s="1" t="s">
        <v>158</v>
      </c>
      <c r="B156" s="2">
        <v>0.02901441603899002</v>
      </c>
      <c r="C156" s="1">
        <v>48</v>
      </c>
      <c r="D156" s="1">
        <v>0</v>
      </c>
      <c r="E156" s="1">
        <v>48</v>
      </c>
      <c r="F156" s="1">
        <v>0</v>
      </c>
      <c r="G156" s="1">
        <v>0</v>
      </c>
      <c r="H156" s="1">
        <v>0</v>
      </c>
    </row>
    <row r="157" spans="1:8">
      <c r="A157" s="1" t="s">
        <v>159</v>
      </c>
      <c r="B157" s="2">
        <v>0.02901441603899002</v>
      </c>
      <c r="C157" s="1">
        <v>48</v>
      </c>
      <c r="D157" s="1">
        <v>0</v>
      </c>
      <c r="E157" s="1">
        <v>48</v>
      </c>
      <c r="F157" s="1">
        <v>0</v>
      </c>
      <c r="G157" s="1">
        <v>0</v>
      </c>
      <c r="H157" s="1">
        <v>0</v>
      </c>
    </row>
    <row r="158" spans="1:8">
      <c r="A158" s="1" t="s">
        <v>160</v>
      </c>
      <c r="B158" s="2">
        <v>0.02901441603899002</v>
      </c>
      <c r="C158" s="1">
        <v>48</v>
      </c>
      <c r="D158" s="1">
        <v>0</v>
      </c>
      <c r="E158" s="1">
        <v>48</v>
      </c>
      <c r="F158" s="1">
        <v>0</v>
      </c>
      <c r="G158" s="1">
        <v>0</v>
      </c>
      <c r="H158" s="1">
        <v>0</v>
      </c>
    </row>
    <row r="159" spans="1:8">
      <c r="A159" s="1" t="s">
        <v>161</v>
      </c>
      <c r="B159" s="2">
        <v>0.02780548296868801</v>
      </c>
      <c r="C159" s="1">
        <v>46</v>
      </c>
      <c r="D159" s="1">
        <v>0</v>
      </c>
      <c r="E159" s="1">
        <v>46</v>
      </c>
      <c r="F159" s="1">
        <v>0</v>
      </c>
      <c r="G159" s="1">
        <v>0</v>
      </c>
      <c r="H159" s="1">
        <v>0</v>
      </c>
    </row>
    <row r="160" spans="1:8">
      <c r="A160" s="1" t="s">
        <v>54</v>
      </c>
      <c r="B160" s="2">
        <v>0.02780548296868801</v>
      </c>
      <c r="C160" s="1">
        <v>46</v>
      </c>
      <c r="D160" s="1">
        <v>4</v>
      </c>
      <c r="E160" s="1">
        <v>18</v>
      </c>
      <c r="F160" s="1">
        <v>24</v>
      </c>
      <c r="G160" s="1">
        <v>4</v>
      </c>
      <c r="H160" s="1">
        <v>0</v>
      </c>
    </row>
    <row r="161" spans="1:8">
      <c r="A161" s="1" t="s">
        <v>162</v>
      </c>
      <c r="B161" s="2">
        <v>0.02659654803574085</v>
      </c>
      <c r="C161" s="1">
        <v>44</v>
      </c>
      <c r="D161" s="1">
        <v>0</v>
      </c>
      <c r="E161" s="1">
        <v>44</v>
      </c>
      <c r="F161" s="1">
        <v>0</v>
      </c>
      <c r="G161" s="1">
        <v>0</v>
      </c>
      <c r="H161" s="1">
        <v>0</v>
      </c>
    </row>
    <row r="162" spans="1:8">
      <c r="A162" s="1" t="s">
        <v>163</v>
      </c>
      <c r="B162" s="2">
        <v>0.02659654803574085</v>
      </c>
      <c r="C162" s="1">
        <v>44</v>
      </c>
      <c r="D162" s="1">
        <v>0</v>
      </c>
      <c r="E162" s="1">
        <v>44</v>
      </c>
      <c r="F162" s="1">
        <v>0</v>
      </c>
      <c r="G162" s="1">
        <v>0</v>
      </c>
      <c r="H162" s="1">
        <v>0</v>
      </c>
    </row>
    <row r="163" spans="1:8">
      <c r="A163" s="1" t="s">
        <v>164</v>
      </c>
      <c r="B163" s="2">
        <v>0.02659654803574085</v>
      </c>
      <c r="C163" s="1">
        <v>44</v>
      </c>
      <c r="D163" s="1">
        <v>0</v>
      </c>
      <c r="E163" s="1">
        <v>44</v>
      </c>
      <c r="F163" s="1">
        <v>0</v>
      </c>
      <c r="G163" s="1">
        <v>0</v>
      </c>
      <c r="H163" s="1">
        <v>0</v>
      </c>
    </row>
    <row r="164" spans="1:8">
      <c r="A164" s="1" t="s">
        <v>165</v>
      </c>
      <c r="B164" s="2">
        <v>0.02417868003249168</v>
      </c>
      <c r="C164" s="1">
        <v>40</v>
      </c>
      <c r="D164" s="1">
        <v>0</v>
      </c>
      <c r="E164" s="1">
        <v>40</v>
      </c>
      <c r="F164" s="1">
        <v>0</v>
      </c>
      <c r="G164" s="1">
        <v>0</v>
      </c>
      <c r="H164" s="1">
        <v>0</v>
      </c>
    </row>
    <row r="165" spans="1:8">
      <c r="A165" s="1" t="s">
        <v>166</v>
      </c>
      <c r="B165" s="2">
        <v>0.02417868003249168</v>
      </c>
      <c r="C165" s="1">
        <v>40</v>
      </c>
      <c r="D165" s="1">
        <v>0</v>
      </c>
      <c r="E165" s="1">
        <v>40</v>
      </c>
      <c r="F165" s="1">
        <v>0</v>
      </c>
      <c r="G165" s="1">
        <v>0</v>
      </c>
      <c r="H165" s="1">
        <v>0</v>
      </c>
    </row>
    <row r="166" spans="1:8">
      <c r="A166" s="1" t="s">
        <v>167</v>
      </c>
      <c r="B166" s="2">
        <v>0.02176081202924252</v>
      </c>
      <c r="C166" s="1">
        <v>36</v>
      </c>
      <c r="D166" s="1">
        <v>0</v>
      </c>
      <c r="E166" s="1">
        <v>36</v>
      </c>
      <c r="F166" s="1">
        <v>0</v>
      </c>
      <c r="G166" s="1">
        <v>0</v>
      </c>
      <c r="H166" s="1">
        <v>0</v>
      </c>
    </row>
    <row r="167" spans="1:8">
      <c r="A167" s="1" t="s">
        <v>168</v>
      </c>
      <c r="B167" s="2">
        <v>0.02176081202924252</v>
      </c>
      <c r="C167" s="1">
        <v>36</v>
      </c>
      <c r="D167" s="1">
        <v>0</v>
      </c>
      <c r="E167" s="1">
        <v>36</v>
      </c>
      <c r="F167" s="1">
        <v>0</v>
      </c>
      <c r="G167" s="1">
        <v>0</v>
      </c>
      <c r="H167" s="1">
        <v>0</v>
      </c>
    </row>
    <row r="168" spans="1:8">
      <c r="A168" s="1" t="s">
        <v>169</v>
      </c>
      <c r="B168" s="2">
        <v>0.02176081202924252</v>
      </c>
      <c r="C168" s="1">
        <v>36</v>
      </c>
      <c r="D168" s="1">
        <v>0</v>
      </c>
      <c r="E168" s="1">
        <v>36</v>
      </c>
      <c r="F168" s="1">
        <v>0</v>
      </c>
      <c r="G168" s="1">
        <v>0</v>
      </c>
      <c r="H168" s="1">
        <v>0</v>
      </c>
    </row>
    <row r="169" spans="1:8">
      <c r="A169" s="1" t="s">
        <v>170</v>
      </c>
      <c r="B169" s="2">
        <v>0.02176081202924252</v>
      </c>
      <c r="C169" s="1">
        <v>36</v>
      </c>
      <c r="D169" s="1">
        <v>0</v>
      </c>
      <c r="E169" s="1">
        <v>36</v>
      </c>
      <c r="F169" s="1">
        <v>0</v>
      </c>
      <c r="G169" s="1">
        <v>0</v>
      </c>
      <c r="H169" s="1">
        <v>0</v>
      </c>
    </row>
    <row r="170" spans="1:8">
      <c r="A170" s="1" t="s">
        <v>171</v>
      </c>
      <c r="B170" s="2">
        <v>0.02055187895894051</v>
      </c>
      <c r="C170" s="1">
        <v>34</v>
      </c>
      <c r="D170" s="1">
        <v>0</v>
      </c>
      <c r="E170" s="1">
        <v>34</v>
      </c>
      <c r="F170" s="1">
        <v>0</v>
      </c>
      <c r="G170" s="1">
        <v>0</v>
      </c>
      <c r="H170" s="1">
        <v>0</v>
      </c>
    </row>
    <row r="171" spans="1:8">
      <c r="A171" s="1" t="s">
        <v>172</v>
      </c>
      <c r="B171" s="2">
        <v>0.02055187895894051</v>
      </c>
      <c r="C171" s="1">
        <v>34</v>
      </c>
      <c r="D171" s="1">
        <v>0</v>
      </c>
      <c r="E171" s="1">
        <v>18</v>
      </c>
      <c r="F171" s="1">
        <v>16</v>
      </c>
      <c r="G171" s="1">
        <v>0</v>
      </c>
      <c r="H171" s="1">
        <v>0</v>
      </c>
    </row>
    <row r="172" spans="1:8">
      <c r="A172" s="1" t="s">
        <v>173</v>
      </c>
      <c r="B172" s="2">
        <v>0.01934294402599335</v>
      </c>
      <c r="C172" s="1">
        <v>32</v>
      </c>
      <c r="D172" s="1">
        <v>0</v>
      </c>
      <c r="E172" s="1">
        <v>32</v>
      </c>
      <c r="F172" s="1">
        <v>0</v>
      </c>
      <c r="G172" s="1">
        <v>0</v>
      </c>
      <c r="H172" s="1">
        <v>0</v>
      </c>
    </row>
    <row r="173" spans="1:8">
      <c r="A173" s="1" t="s">
        <v>174</v>
      </c>
      <c r="B173" s="2">
        <v>0.01934294402599335</v>
      </c>
      <c r="C173" s="1">
        <v>32</v>
      </c>
      <c r="D173" s="1">
        <v>0</v>
      </c>
      <c r="E173" s="1">
        <v>32</v>
      </c>
      <c r="F173" s="1">
        <v>0</v>
      </c>
      <c r="G173" s="1">
        <v>0</v>
      </c>
      <c r="H173" s="1">
        <v>0</v>
      </c>
    </row>
    <row r="174" spans="1:8">
      <c r="A174" s="1" t="s">
        <v>175</v>
      </c>
      <c r="B174" s="2">
        <v>0.01692507602274418</v>
      </c>
      <c r="C174" s="1">
        <v>28</v>
      </c>
      <c r="D174" s="1">
        <v>0</v>
      </c>
      <c r="E174" s="1">
        <v>28</v>
      </c>
      <c r="F174" s="1">
        <v>0</v>
      </c>
      <c r="G174" s="1">
        <v>0</v>
      </c>
      <c r="H174" s="1">
        <v>0</v>
      </c>
    </row>
    <row r="175" spans="1:8">
      <c r="A175" s="1" t="s">
        <v>37</v>
      </c>
      <c r="B175" s="2">
        <v>0.01692507602274418</v>
      </c>
      <c r="C175" s="1">
        <v>28</v>
      </c>
      <c r="D175" s="1">
        <v>12</v>
      </c>
      <c r="E175" s="1">
        <v>16</v>
      </c>
      <c r="F175" s="1">
        <v>0</v>
      </c>
      <c r="G175" s="1">
        <v>12</v>
      </c>
      <c r="H175" s="1">
        <v>0</v>
      </c>
    </row>
    <row r="176" spans="1:8">
      <c r="A176" s="1" t="s">
        <v>176</v>
      </c>
      <c r="B176" s="2">
        <v>0.01571614295244217</v>
      </c>
      <c r="C176" s="1">
        <v>26</v>
      </c>
      <c r="D176" s="1">
        <v>0</v>
      </c>
      <c r="E176" s="1">
        <v>26</v>
      </c>
      <c r="F176" s="1">
        <v>0</v>
      </c>
      <c r="G176" s="1">
        <v>0</v>
      </c>
      <c r="H176" s="1">
        <v>0</v>
      </c>
    </row>
    <row r="177" spans="1:8">
      <c r="A177" s="1" t="s">
        <v>177</v>
      </c>
      <c r="B177" s="2">
        <v>0.01571614295244217</v>
      </c>
      <c r="C177" s="1">
        <v>26</v>
      </c>
      <c r="D177" s="1">
        <v>0</v>
      </c>
      <c r="E177" s="1">
        <v>26</v>
      </c>
      <c r="F177" s="1">
        <v>0</v>
      </c>
      <c r="G177" s="1">
        <v>0</v>
      </c>
      <c r="H177" s="1">
        <v>0</v>
      </c>
    </row>
    <row r="178" spans="1:8">
      <c r="A178" s="1" t="s">
        <v>178</v>
      </c>
      <c r="B178" s="2">
        <v>0.01450720801949501</v>
      </c>
      <c r="C178" s="1">
        <v>24</v>
      </c>
      <c r="D178" s="1">
        <v>0</v>
      </c>
      <c r="E178" s="1">
        <v>24</v>
      </c>
      <c r="F178" s="1">
        <v>0</v>
      </c>
      <c r="G178" s="1">
        <v>0</v>
      </c>
      <c r="H178" s="1">
        <v>0</v>
      </c>
    </row>
    <row r="179" spans="1:8">
      <c r="A179" s="1" t="s">
        <v>29</v>
      </c>
      <c r="B179" s="2">
        <v>0.01450720801949501</v>
      </c>
      <c r="C179" s="1">
        <v>24</v>
      </c>
      <c r="D179" s="1">
        <v>24</v>
      </c>
      <c r="E179" s="1">
        <v>24</v>
      </c>
      <c r="F179" s="1">
        <v>0</v>
      </c>
      <c r="G179" s="1">
        <v>0</v>
      </c>
      <c r="H179" s="1">
        <v>24</v>
      </c>
    </row>
    <row r="180" spans="1:8">
      <c r="A180" s="1" t="s">
        <v>179</v>
      </c>
      <c r="B180" s="2">
        <v>0.01329827401787043</v>
      </c>
      <c r="C180" s="1">
        <v>22</v>
      </c>
      <c r="D180" s="1">
        <v>0</v>
      </c>
      <c r="E180" s="1">
        <v>22</v>
      </c>
      <c r="F180" s="1">
        <v>0</v>
      </c>
      <c r="G180" s="1">
        <v>0</v>
      </c>
      <c r="H180" s="1">
        <v>0</v>
      </c>
    </row>
    <row r="181" spans="1:8">
      <c r="A181" s="1" t="s">
        <v>180</v>
      </c>
      <c r="B181" s="2">
        <v>0.01208934001624584</v>
      </c>
      <c r="C181" s="1">
        <v>20</v>
      </c>
      <c r="D181" s="1">
        <v>0</v>
      </c>
      <c r="E181" s="1">
        <v>20</v>
      </c>
      <c r="F181" s="1">
        <v>0</v>
      </c>
      <c r="G181" s="1">
        <v>0</v>
      </c>
      <c r="H181" s="1">
        <v>0</v>
      </c>
    </row>
    <row r="182" spans="1:8">
      <c r="A182" s="1" t="s">
        <v>181</v>
      </c>
      <c r="B182" s="2">
        <v>0.01088040601462126</v>
      </c>
      <c r="C182" s="1">
        <v>18</v>
      </c>
      <c r="D182" s="1">
        <v>0</v>
      </c>
      <c r="E182" s="1">
        <v>18</v>
      </c>
      <c r="F182" s="1">
        <v>0</v>
      </c>
      <c r="G182" s="1">
        <v>0</v>
      </c>
      <c r="H182" s="1">
        <v>0</v>
      </c>
    </row>
    <row r="183" spans="1:8">
      <c r="A183" s="1" t="s">
        <v>182</v>
      </c>
      <c r="B183" s="2">
        <v>0.009671472012996674</v>
      </c>
      <c r="C183" s="1">
        <v>16</v>
      </c>
      <c r="D183" s="1">
        <v>0</v>
      </c>
      <c r="E183" s="1">
        <v>16</v>
      </c>
      <c r="F183" s="1">
        <v>0</v>
      </c>
      <c r="G183" s="1">
        <v>0</v>
      </c>
      <c r="H183" s="1">
        <v>0</v>
      </c>
    </row>
    <row r="184" spans="1:8">
      <c r="A184" s="1" t="s">
        <v>183</v>
      </c>
      <c r="B184" s="2">
        <v>0.009671472012996674</v>
      </c>
      <c r="C184" s="1">
        <v>16</v>
      </c>
      <c r="D184" s="1">
        <v>0</v>
      </c>
      <c r="E184" s="1">
        <v>16</v>
      </c>
      <c r="F184" s="1">
        <v>0</v>
      </c>
      <c r="G184" s="1">
        <v>0</v>
      </c>
      <c r="H184" s="1">
        <v>0</v>
      </c>
    </row>
    <row r="185" spans="1:8">
      <c r="A185" s="1" t="s">
        <v>184</v>
      </c>
      <c r="B185" s="2">
        <v>0.009671472012996674</v>
      </c>
      <c r="C185" s="1">
        <v>16</v>
      </c>
      <c r="D185" s="1">
        <v>0</v>
      </c>
      <c r="E185" s="1">
        <v>16</v>
      </c>
      <c r="F185" s="1">
        <v>0</v>
      </c>
      <c r="G185" s="1">
        <v>0</v>
      </c>
      <c r="H185" s="1">
        <v>0</v>
      </c>
    </row>
    <row r="186" spans="1:8">
      <c r="A186" s="1" t="s">
        <v>185</v>
      </c>
      <c r="B186" s="2">
        <v>0.009671472012996674</v>
      </c>
      <c r="C186" s="1">
        <v>16</v>
      </c>
      <c r="D186" s="1">
        <v>0</v>
      </c>
      <c r="E186" s="1">
        <v>16</v>
      </c>
      <c r="F186" s="1">
        <v>0</v>
      </c>
      <c r="G186" s="1">
        <v>0</v>
      </c>
      <c r="H186" s="1">
        <v>0</v>
      </c>
    </row>
    <row r="187" spans="1:8">
      <c r="A187" s="1" t="s">
        <v>186</v>
      </c>
      <c r="B187" s="2">
        <v>0.008462538011372089</v>
      </c>
      <c r="C187" s="1">
        <v>14</v>
      </c>
      <c r="D187" s="1">
        <v>0</v>
      </c>
      <c r="E187" s="1">
        <v>14</v>
      </c>
      <c r="F187" s="1">
        <v>0</v>
      </c>
      <c r="G187" s="1">
        <v>0</v>
      </c>
      <c r="H187" s="1">
        <v>0</v>
      </c>
    </row>
    <row r="188" spans="1:8">
      <c r="A188" s="1" t="s">
        <v>187</v>
      </c>
      <c r="B188" s="2">
        <v>0.007253604009747505</v>
      </c>
      <c r="C188" s="1">
        <v>12</v>
      </c>
      <c r="D188" s="1">
        <v>0</v>
      </c>
      <c r="E188" s="1">
        <v>12</v>
      </c>
      <c r="F188" s="1">
        <v>0</v>
      </c>
      <c r="G188" s="1">
        <v>0</v>
      </c>
      <c r="H188" s="1">
        <v>0</v>
      </c>
    </row>
    <row r="189" spans="1:8">
      <c r="A189" s="1" t="s">
        <v>188</v>
      </c>
      <c r="B189" s="2">
        <v>0.007253604009747505</v>
      </c>
      <c r="C189" s="1">
        <v>12</v>
      </c>
      <c r="D189" s="1">
        <v>0</v>
      </c>
      <c r="E189" s="1">
        <v>12</v>
      </c>
      <c r="F189" s="1">
        <v>0</v>
      </c>
      <c r="G189" s="1">
        <v>0</v>
      </c>
      <c r="H189" s="1">
        <v>0</v>
      </c>
    </row>
    <row r="190" spans="1:8">
      <c r="A190" s="1" t="s">
        <v>38</v>
      </c>
      <c r="B190" s="2">
        <v>0.007253604009747505</v>
      </c>
      <c r="C190" s="1">
        <v>12</v>
      </c>
      <c r="D190" s="1">
        <v>12</v>
      </c>
      <c r="E190" s="1">
        <v>12</v>
      </c>
      <c r="F190" s="1">
        <v>0</v>
      </c>
      <c r="G190" s="1">
        <v>0</v>
      </c>
      <c r="H190" s="1">
        <v>12</v>
      </c>
    </row>
    <row r="191" spans="1:8">
      <c r="A191" s="1" t="s">
        <v>189</v>
      </c>
      <c r="B191" s="2">
        <v>0.006044670008122921</v>
      </c>
      <c r="C191" s="1">
        <v>10</v>
      </c>
      <c r="D191" s="1">
        <v>0</v>
      </c>
      <c r="E191" s="1">
        <v>10</v>
      </c>
      <c r="F191" s="1">
        <v>0</v>
      </c>
      <c r="G191" s="1">
        <v>0</v>
      </c>
      <c r="H191" s="1">
        <v>0</v>
      </c>
    </row>
    <row r="192" spans="1:8">
      <c r="A192" s="1" t="s">
        <v>190</v>
      </c>
      <c r="B192" s="2">
        <v>0.006044670008122921</v>
      </c>
      <c r="C192" s="1">
        <v>10</v>
      </c>
      <c r="D192" s="1">
        <v>0</v>
      </c>
      <c r="E192" s="1">
        <v>10</v>
      </c>
      <c r="F192" s="1">
        <v>0</v>
      </c>
      <c r="G192" s="1">
        <v>0</v>
      </c>
      <c r="H192" s="1">
        <v>0</v>
      </c>
    </row>
    <row r="193" spans="1:8">
      <c r="A193" s="1" t="s">
        <v>191</v>
      </c>
      <c r="B193" s="2">
        <v>0.006044670008122921</v>
      </c>
      <c r="C193" s="1">
        <v>10</v>
      </c>
      <c r="D193" s="1">
        <v>0</v>
      </c>
      <c r="E193" s="1">
        <v>10</v>
      </c>
      <c r="F193" s="1">
        <v>0</v>
      </c>
      <c r="G193" s="1">
        <v>0</v>
      </c>
      <c r="H193" s="1">
        <v>0</v>
      </c>
    </row>
    <row r="194" spans="1:8">
      <c r="A194" s="1" t="s">
        <v>192</v>
      </c>
      <c r="B194" s="2">
        <v>0.004835736006498337</v>
      </c>
      <c r="C194" s="1">
        <v>8</v>
      </c>
      <c r="D194" s="1">
        <v>0</v>
      </c>
      <c r="E194" s="1">
        <v>8</v>
      </c>
      <c r="F194" s="1">
        <v>0</v>
      </c>
      <c r="G194" s="1">
        <v>0</v>
      </c>
      <c r="H194" s="1">
        <v>0</v>
      </c>
    </row>
    <row r="195" spans="1:8">
      <c r="A195" s="1" t="s">
        <v>193</v>
      </c>
      <c r="B195" s="2">
        <v>0.004835736006498337</v>
      </c>
      <c r="C195" s="1">
        <v>8</v>
      </c>
      <c r="D195" s="1">
        <v>0</v>
      </c>
      <c r="E195" s="1">
        <v>8</v>
      </c>
      <c r="F195" s="1">
        <v>0</v>
      </c>
      <c r="G195" s="1">
        <v>0</v>
      </c>
      <c r="H195" s="1">
        <v>0</v>
      </c>
    </row>
    <row r="196" spans="1:8">
      <c r="A196" s="1" t="s">
        <v>14</v>
      </c>
      <c r="B196" s="2">
        <v>0.004835736006498337</v>
      </c>
      <c r="C196" s="1">
        <v>8</v>
      </c>
      <c r="D196" s="1">
        <v>96</v>
      </c>
      <c r="E196" s="1">
        <v>8</v>
      </c>
      <c r="F196" s="1">
        <v>0</v>
      </c>
      <c r="G196" s="1">
        <v>0</v>
      </c>
      <c r="H196" s="1">
        <v>96</v>
      </c>
    </row>
    <row r="197" spans="1:8">
      <c r="A197" s="1" t="s">
        <v>194</v>
      </c>
      <c r="B197" s="2">
        <v>0.004835736006498337</v>
      </c>
      <c r="C197" s="1">
        <v>8</v>
      </c>
      <c r="D197" s="1">
        <v>0</v>
      </c>
      <c r="E197" s="1">
        <v>8</v>
      </c>
      <c r="F197" s="1">
        <v>0</v>
      </c>
      <c r="G197" s="1">
        <v>0</v>
      </c>
      <c r="H197" s="1">
        <v>0</v>
      </c>
    </row>
    <row r="198" spans="1:8">
      <c r="A198" s="1" t="s">
        <v>195</v>
      </c>
      <c r="B198" s="2">
        <v>0.004835736006498337</v>
      </c>
      <c r="C198" s="1">
        <v>8</v>
      </c>
      <c r="D198" s="1">
        <v>0</v>
      </c>
      <c r="E198" s="1">
        <v>8</v>
      </c>
      <c r="F198" s="1">
        <v>0</v>
      </c>
      <c r="G198" s="1">
        <v>0</v>
      </c>
      <c r="H198" s="1">
        <v>0</v>
      </c>
    </row>
    <row r="199" spans="1:8">
      <c r="A199" s="1" t="s">
        <v>196</v>
      </c>
      <c r="B199" s="2">
        <v>0.003626802004873753</v>
      </c>
      <c r="C199" s="1">
        <v>6</v>
      </c>
      <c r="D199" s="1">
        <v>0</v>
      </c>
      <c r="E199" s="1">
        <v>6</v>
      </c>
      <c r="F199" s="1">
        <v>0</v>
      </c>
      <c r="G199" s="1">
        <v>0</v>
      </c>
      <c r="H199" s="1">
        <v>0</v>
      </c>
    </row>
    <row r="200" spans="1:8">
      <c r="A200" s="1" t="s">
        <v>197</v>
      </c>
      <c r="B200" s="2">
        <v>0.003626802004873753</v>
      </c>
      <c r="C200" s="1">
        <v>6</v>
      </c>
      <c r="D200" s="1">
        <v>0</v>
      </c>
      <c r="E200" s="1">
        <v>6</v>
      </c>
      <c r="F200" s="1">
        <v>0</v>
      </c>
      <c r="G200" s="1">
        <v>0</v>
      </c>
      <c r="H200" s="1">
        <v>0</v>
      </c>
    </row>
    <row r="201" spans="1:8">
      <c r="A201" s="1" t="s">
        <v>198</v>
      </c>
      <c r="B201" s="2">
        <v>0.003626802004873753</v>
      </c>
      <c r="C201" s="1">
        <v>6</v>
      </c>
      <c r="D201" s="1">
        <v>0</v>
      </c>
      <c r="E201" s="1">
        <v>6</v>
      </c>
      <c r="F201" s="1">
        <v>0</v>
      </c>
      <c r="G201" s="1">
        <v>0</v>
      </c>
      <c r="H201" s="1">
        <v>0</v>
      </c>
    </row>
    <row r="202" spans="1:8">
      <c r="A202" s="1" t="s">
        <v>199</v>
      </c>
      <c r="B202" s="2">
        <v>0.003626802004873753</v>
      </c>
      <c r="C202" s="1">
        <v>6</v>
      </c>
      <c r="D202" s="1">
        <v>0</v>
      </c>
      <c r="E202" s="1">
        <v>6</v>
      </c>
      <c r="F202" s="1">
        <v>0</v>
      </c>
      <c r="G202" s="1">
        <v>0</v>
      </c>
      <c r="H202" s="1">
        <v>0</v>
      </c>
    </row>
    <row r="203" spans="1:8">
      <c r="A203" s="1" t="s">
        <v>200</v>
      </c>
      <c r="B203" s="2">
        <v>0.003626802004873753</v>
      </c>
      <c r="C203" s="1">
        <v>6</v>
      </c>
      <c r="D203" s="1">
        <v>0</v>
      </c>
      <c r="E203" s="1">
        <v>6</v>
      </c>
      <c r="F203" s="1">
        <v>0</v>
      </c>
      <c r="G203" s="1">
        <v>0</v>
      </c>
      <c r="H203" s="1">
        <v>0</v>
      </c>
    </row>
    <row r="204" spans="1:8">
      <c r="A204" s="1" t="s">
        <v>201</v>
      </c>
      <c r="B204" s="2">
        <v>0.003626802004873753</v>
      </c>
      <c r="C204" s="1">
        <v>6</v>
      </c>
      <c r="D204" s="1">
        <v>0</v>
      </c>
      <c r="E204" s="1">
        <v>6</v>
      </c>
      <c r="F204" s="1">
        <v>0</v>
      </c>
      <c r="G204" s="1">
        <v>0</v>
      </c>
      <c r="H204" s="1">
        <v>0</v>
      </c>
    </row>
    <row r="205" spans="1:8">
      <c r="A205" s="1" t="s">
        <v>202</v>
      </c>
      <c r="B205" s="2">
        <v>0.003626802004873753</v>
      </c>
      <c r="C205" s="1">
        <v>6</v>
      </c>
      <c r="D205" s="1">
        <v>0</v>
      </c>
      <c r="E205" s="1">
        <v>6</v>
      </c>
      <c r="F205" s="1">
        <v>0</v>
      </c>
      <c r="G205" s="1">
        <v>0</v>
      </c>
      <c r="H205" s="1">
        <v>0</v>
      </c>
    </row>
    <row r="206" spans="1:8">
      <c r="A206" s="1" t="s">
        <v>203</v>
      </c>
      <c r="B206" s="2">
        <v>0.003626802004873753</v>
      </c>
      <c r="C206" s="1">
        <v>6</v>
      </c>
      <c r="D206" s="1">
        <v>0</v>
      </c>
      <c r="E206" s="1">
        <v>6</v>
      </c>
      <c r="F206" s="1">
        <v>0</v>
      </c>
      <c r="G206" s="1">
        <v>0</v>
      </c>
      <c r="H206" s="1">
        <v>0</v>
      </c>
    </row>
    <row r="207" spans="1:8">
      <c r="A207" s="1" t="s">
        <v>204</v>
      </c>
      <c r="B207" s="2">
        <v>0.003626802004873753</v>
      </c>
      <c r="C207" s="1">
        <v>6</v>
      </c>
      <c r="D207" s="1">
        <v>0</v>
      </c>
      <c r="E207" s="1">
        <v>6</v>
      </c>
      <c r="F207" s="1">
        <v>0</v>
      </c>
      <c r="G207" s="1">
        <v>0</v>
      </c>
      <c r="H207" s="1">
        <v>0</v>
      </c>
    </row>
    <row r="208" spans="1:8">
      <c r="A208" s="1" t="s">
        <v>205</v>
      </c>
      <c r="B208" s="2">
        <v>0.003626802004873753</v>
      </c>
      <c r="C208" s="1">
        <v>6</v>
      </c>
      <c r="D208" s="1">
        <v>0</v>
      </c>
      <c r="E208" s="1">
        <v>6</v>
      </c>
      <c r="F208" s="1">
        <v>0</v>
      </c>
      <c r="G208" s="1">
        <v>0</v>
      </c>
      <c r="H208" s="1">
        <v>0</v>
      </c>
    </row>
    <row r="209" spans="1:8">
      <c r="A209" s="1" t="s">
        <v>206</v>
      </c>
      <c r="B209" s="2">
        <v>0.003626802004873753</v>
      </c>
      <c r="C209" s="1">
        <v>6</v>
      </c>
      <c r="D209" s="1">
        <v>0</v>
      </c>
      <c r="E209" s="1">
        <v>6</v>
      </c>
      <c r="F209" s="1">
        <v>0</v>
      </c>
      <c r="G209" s="1">
        <v>0</v>
      </c>
      <c r="H209" s="1">
        <v>0</v>
      </c>
    </row>
    <row r="210" spans="1:8">
      <c r="A210" s="1" t="s">
        <v>207</v>
      </c>
      <c r="B210" s="2">
        <v>0.003626802004873753</v>
      </c>
      <c r="C210" s="1">
        <v>6</v>
      </c>
      <c r="D210" s="1">
        <v>0</v>
      </c>
      <c r="E210" s="1">
        <v>6</v>
      </c>
      <c r="F210" s="1">
        <v>0</v>
      </c>
      <c r="G210" s="1">
        <v>0</v>
      </c>
      <c r="H210" s="1">
        <v>0</v>
      </c>
    </row>
    <row r="211" spans="1:8">
      <c r="A211" s="1" t="s">
        <v>208</v>
      </c>
      <c r="B211" s="2">
        <v>0.003626802004873753</v>
      </c>
      <c r="C211" s="1">
        <v>6</v>
      </c>
      <c r="D211" s="1">
        <v>0</v>
      </c>
      <c r="E211" s="1">
        <v>6</v>
      </c>
      <c r="F211" s="1">
        <v>0</v>
      </c>
      <c r="G211" s="1">
        <v>0</v>
      </c>
      <c r="H211" s="1">
        <v>0</v>
      </c>
    </row>
    <row r="212" spans="1:8">
      <c r="A212" s="1" t="s">
        <v>209</v>
      </c>
      <c r="B212" s="2">
        <v>0.003626802004873753</v>
      </c>
      <c r="C212" s="1">
        <v>6</v>
      </c>
      <c r="D212" s="1">
        <v>0</v>
      </c>
      <c r="E212" s="1">
        <v>6</v>
      </c>
      <c r="F212" s="1">
        <v>0</v>
      </c>
      <c r="G212" s="1">
        <v>0</v>
      </c>
      <c r="H212" s="1">
        <v>0</v>
      </c>
    </row>
    <row r="213" spans="1:8">
      <c r="A213" s="1" t="s">
        <v>210</v>
      </c>
      <c r="B213" s="2">
        <v>0.003626802004873753</v>
      </c>
      <c r="C213" s="1">
        <v>6</v>
      </c>
      <c r="D213" s="1">
        <v>0</v>
      </c>
      <c r="E213" s="1">
        <v>6</v>
      </c>
      <c r="F213" s="1">
        <v>0</v>
      </c>
      <c r="G213" s="1">
        <v>0</v>
      </c>
      <c r="H213" s="1">
        <v>0</v>
      </c>
    </row>
    <row r="214" spans="1:8">
      <c r="A214" s="1" t="s">
        <v>211</v>
      </c>
      <c r="B214" s="2">
        <v>0.003626802004873753</v>
      </c>
      <c r="C214" s="1">
        <v>6</v>
      </c>
      <c r="D214" s="1">
        <v>0</v>
      </c>
      <c r="E214" s="1">
        <v>6</v>
      </c>
      <c r="F214" s="1">
        <v>0</v>
      </c>
      <c r="G214" s="1">
        <v>0</v>
      </c>
      <c r="H214" s="1">
        <v>0</v>
      </c>
    </row>
    <row r="215" spans="1:8">
      <c r="A215" s="1" t="s">
        <v>212</v>
      </c>
      <c r="B215" s="2">
        <v>0.003626802004873753</v>
      </c>
      <c r="C215" s="1">
        <v>6</v>
      </c>
      <c r="D215" s="1">
        <v>0</v>
      </c>
      <c r="E215" s="1">
        <v>6</v>
      </c>
      <c r="F215" s="1">
        <v>0</v>
      </c>
      <c r="G215" s="1">
        <v>0</v>
      </c>
      <c r="H215" s="1">
        <v>0</v>
      </c>
    </row>
    <row r="216" spans="1:8">
      <c r="A216" s="1" t="s">
        <v>213</v>
      </c>
      <c r="B216" s="2">
        <v>0.003626802004873753</v>
      </c>
      <c r="C216" s="1">
        <v>6</v>
      </c>
      <c r="D216" s="1">
        <v>0</v>
      </c>
      <c r="E216" s="1">
        <v>6</v>
      </c>
      <c r="F216" s="1">
        <v>0</v>
      </c>
      <c r="G216" s="1">
        <v>0</v>
      </c>
      <c r="H216" s="1">
        <v>0</v>
      </c>
    </row>
    <row r="217" spans="1:8">
      <c r="A217" s="1" t="s">
        <v>214</v>
      </c>
      <c r="B217" s="2">
        <v>0.003626802004873753</v>
      </c>
      <c r="C217" s="1">
        <v>6</v>
      </c>
      <c r="D217" s="1">
        <v>0</v>
      </c>
      <c r="E217" s="1">
        <v>6</v>
      </c>
      <c r="F217" s="1">
        <v>0</v>
      </c>
      <c r="G217" s="1">
        <v>0</v>
      </c>
      <c r="H217" s="1">
        <v>0</v>
      </c>
    </row>
    <row r="218" spans="1:8">
      <c r="A218" s="1" t="s">
        <v>215</v>
      </c>
      <c r="B218" s="2">
        <v>0.003626802004873753</v>
      </c>
      <c r="C218" s="1">
        <v>6</v>
      </c>
      <c r="D218" s="1">
        <v>0</v>
      </c>
      <c r="E218" s="1">
        <v>6</v>
      </c>
      <c r="F218" s="1">
        <v>0</v>
      </c>
      <c r="G218" s="1">
        <v>0</v>
      </c>
      <c r="H218" s="1">
        <v>0</v>
      </c>
    </row>
    <row r="219" spans="1:8">
      <c r="A219" s="1" t="s">
        <v>216</v>
      </c>
      <c r="B219" s="2">
        <v>0.003626802004873753</v>
      </c>
      <c r="C219" s="1">
        <v>6</v>
      </c>
      <c r="D219" s="1">
        <v>0</v>
      </c>
      <c r="E219" s="1">
        <v>6</v>
      </c>
      <c r="F219" s="1">
        <v>0</v>
      </c>
      <c r="G219" s="1">
        <v>0</v>
      </c>
      <c r="H219" s="1">
        <v>0</v>
      </c>
    </row>
    <row r="220" spans="1:8">
      <c r="A220" s="1" t="s">
        <v>217</v>
      </c>
      <c r="B220" s="2">
        <v>0.003626802004873753</v>
      </c>
      <c r="C220" s="1">
        <v>6</v>
      </c>
      <c r="D220" s="1">
        <v>0</v>
      </c>
      <c r="E220" s="1">
        <v>6</v>
      </c>
      <c r="F220" s="1">
        <v>0</v>
      </c>
      <c r="G220" s="1">
        <v>0</v>
      </c>
      <c r="H220" s="1">
        <v>0</v>
      </c>
    </row>
    <row r="221" spans="1:8">
      <c r="A221" s="1" t="s">
        <v>218</v>
      </c>
      <c r="B221" s="2">
        <v>0.002417868003249168</v>
      </c>
      <c r="C221" s="1">
        <v>4</v>
      </c>
      <c r="D221" s="1">
        <v>0</v>
      </c>
      <c r="E221" s="1">
        <v>4</v>
      </c>
      <c r="F221" s="1">
        <v>0</v>
      </c>
      <c r="G221" s="1">
        <v>0</v>
      </c>
      <c r="H221" s="1">
        <v>0</v>
      </c>
    </row>
    <row r="222" spans="1:8">
      <c r="A222" s="1" t="s">
        <v>219</v>
      </c>
      <c r="B222" s="2">
        <v>0.002417868003249168</v>
      </c>
      <c r="C222" s="1">
        <v>4</v>
      </c>
      <c r="D222" s="1">
        <v>0</v>
      </c>
      <c r="E222" s="1">
        <v>4</v>
      </c>
      <c r="F222" s="1">
        <v>0</v>
      </c>
      <c r="G222" s="1">
        <v>0</v>
      </c>
      <c r="H222" s="1">
        <v>0</v>
      </c>
    </row>
    <row r="223" spans="1:8">
      <c r="A223" s="1" t="s">
        <v>220</v>
      </c>
      <c r="B223" s="2">
        <v>0.002417868003249168</v>
      </c>
      <c r="C223" s="1">
        <v>4</v>
      </c>
      <c r="D223" s="1">
        <v>0</v>
      </c>
      <c r="E223" s="1">
        <v>4</v>
      </c>
      <c r="F223" s="1">
        <v>0</v>
      </c>
      <c r="G223" s="1">
        <v>0</v>
      </c>
      <c r="H223" s="1">
        <v>0</v>
      </c>
    </row>
    <row r="224" spans="1:8">
      <c r="A224" s="1" t="s">
        <v>221</v>
      </c>
      <c r="B224" s="2">
        <v>0.001208934001624584</v>
      </c>
      <c r="C224" s="1">
        <v>2</v>
      </c>
      <c r="D224" s="1">
        <v>0</v>
      </c>
      <c r="E224" s="1">
        <v>2</v>
      </c>
      <c r="F224" s="1">
        <v>0</v>
      </c>
      <c r="G224" s="1">
        <v>0</v>
      </c>
      <c r="H224" s="1">
        <v>0</v>
      </c>
    </row>
    <row r="225" spans="1:8">
      <c r="A225" s="1" t="s">
        <v>222</v>
      </c>
      <c r="B225" s="2">
        <v>0.001208934001624584</v>
      </c>
      <c r="C225" s="1">
        <v>2</v>
      </c>
      <c r="D225" s="1">
        <v>0</v>
      </c>
      <c r="E225" s="1">
        <v>2</v>
      </c>
      <c r="F225" s="1">
        <v>0</v>
      </c>
      <c r="G225" s="1">
        <v>0</v>
      </c>
      <c r="H225" s="1">
        <v>0</v>
      </c>
    </row>
    <row r="226" spans="1:8">
      <c r="A226" s="1" t="s">
        <v>223</v>
      </c>
      <c r="B226" s="2">
        <v>0.001208934001624584</v>
      </c>
      <c r="C226" s="1">
        <v>2</v>
      </c>
      <c r="D226" s="1">
        <v>0</v>
      </c>
      <c r="E226" s="1">
        <v>2</v>
      </c>
      <c r="F226" s="1">
        <v>0</v>
      </c>
      <c r="G226" s="1">
        <v>0</v>
      </c>
      <c r="H226" s="1">
        <v>0</v>
      </c>
    </row>
    <row r="227" spans="1:8">
      <c r="A227" s="1" t="s">
        <v>224</v>
      </c>
      <c r="B227" s="2">
        <v>0.001208934001624584</v>
      </c>
      <c r="C227" s="1">
        <v>2</v>
      </c>
      <c r="D227" s="1">
        <v>0</v>
      </c>
      <c r="E227" s="1">
        <v>2</v>
      </c>
      <c r="F227" s="1">
        <v>0</v>
      </c>
      <c r="G227" s="1">
        <v>0</v>
      </c>
      <c r="H227" s="1">
        <v>0</v>
      </c>
    </row>
    <row r="228" spans="1:8">
      <c r="A228" s="1" t="s">
        <v>225</v>
      </c>
      <c r="B228" s="2">
        <v>0.001208934001624584</v>
      </c>
      <c r="C228" s="1">
        <v>2</v>
      </c>
      <c r="D228" s="1">
        <v>0</v>
      </c>
      <c r="E228" s="1">
        <v>2</v>
      </c>
      <c r="F228" s="1">
        <v>0</v>
      </c>
      <c r="G228" s="1">
        <v>0</v>
      </c>
      <c r="H228" s="1">
        <v>0</v>
      </c>
    </row>
    <row r="229" spans="1:8">
      <c r="A229" s="1" t="s">
        <v>226</v>
      </c>
      <c r="B229" s="2">
        <v>0.001208934001624584</v>
      </c>
      <c r="C229" s="1">
        <v>2</v>
      </c>
      <c r="D229" s="1">
        <v>0</v>
      </c>
      <c r="E229" s="1">
        <v>2</v>
      </c>
      <c r="F229" s="1">
        <v>0</v>
      </c>
      <c r="G229" s="1">
        <v>0</v>
      </c>
      <c r="H229" s="1">
        <v>0</v>
      </c>
    </row>
    <row r="230" spans="1:8">
      <c r="A230" s="1" t="s">
        <v>227</v>
      </c>
      <c r="B230" s="2">
        <v>0.001208934001624584</v>
      </c>
      <c r="C230" s="1">
        <v>2</v>
      </c>
      <c r="D230" s="1">
        <v>0</v>
      </c>
      <c r="E230" s="1">
        <v>2</v>
      </c>
      <c r="F230" s="1">
        <v>0</v>
      </c>
      <c r="G230" s="1">
        <v>0</v>
      </c>
      <c r="H230" s="1">
        <v>0</v>
      </c>
    </row>
    <row r="231" spans="1:8">
      <c r="A231" t="s">
        <v>229</v>
      </c>
      <c r="B231">
        <f>SUBTOTAL(109,[flash_percent])</f>
        <v>0</v>
      </c>
      <c r="C231">
        <f>SUBTOTAL(109,[flash])</f>
        <v>0</v>
      </c>
      <c r="D231">
        <f>SUBTOTAL(109,[ram])</f>
        <v>0</v>
      </c>
      <c r="E231">
        <f>SUBTOTAL(109,[Code])</f>
        <v>0</v>
      </c>
      <c r="F231">
        <f>SUBTOTAL(109,[RO_data])</f>
        <v>0</v>
      </c>
      <c r="G231">
        <f>SUBTOTAL(109,[RW_data])</f>
        <v>0</v>
      </c>
      <c r="H23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2026-05-14T11:13:18Z</dcterms:created>
  <dcterms:modified xsi:type="dcterms:W3CDTF">2026-05-14T11:13:18Z</dcterms:modified>
</cp:coreProperties>
</file>