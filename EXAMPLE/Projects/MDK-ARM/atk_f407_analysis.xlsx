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<sst xmlns="http://schemas.openxmlformats.org/spreadsheetml/2006/main" count="172" uniqueCount="141">
  <si>
    <t>atk_f407</t>
  </si>
  <si>
    <t>heap_4.o</t>
  </si>
  <si>
    <t>malloc.o</t>
  </si>
  <si>
    <t>usbd_conf.o</t>
  </si>
  <si>
    <t>startup_stm32f407xx.o</t>
  </si>
  <si>
    <t>tasks.o</t>
  </si>
  <si>
    <t>usart.o</t>
  </si>
  <si>
    <t>c_w.l</t>
  </si>
  <si>
    <t>libspace.o</t>
  </si>
  <si>
    <t>dma.o</t>
  </si>
  <si>
    <t>lcd.o</t>
  </si>
  <si>
    <t>can.o</t>
  </si>
  <si>
    <t>queue.o</t>
  </si>
  <si>
    <t>timers.o</t>
  </si>
  <si>
    <t>port.o</t>
  </si>
  <si>
    <t>stm32f4xx_hal.o</t>
  </si>
  <si>
    <t>can_task.o</t>
  </si>
  <si>
    <t>system_stm32f4xx.o</t>
  </si>
  <si>
    <t>led_task.o</t>
  </si>
  <si>
    <t>freertos_start.o</t>
  </si>
  <si>
    <t>delay.o</t>
  </si>
  <si>
    <t>ai_task.o</t>
  </si>
  <si>
    <t>usbd_ctlreq.o</t>
  </si>
  <si>
    <t>stm32f4xx_hal_pcd.o</t>
  </si>
  <si>
    <t>stm32f4xx_ll_usb.o</t>
  </si>
  <si>
    <t>stm32f4xx_hal_uart.o</t>
  </si>
  <si>
    <t>btod.o</t>
  </si>
  <si>
    <t>stm32f4xx_hal_rcc.o</t>
  </si>
  <si>
    <t>stm32f4xx_hal_dma.o</t>
  </si>
  <si>
    <t>stm32f4xx_hal_can.o</t>
  </si>
  <si>
    <t>_printf_fp_dec.o</t>
  </si>
  <si>
    <t>usbd_core.o</t>
  </si>
  <si>
    <t>_printf_fp_hex.o</t>
  </si>
  <si>
    <t>fz_wm.l</t>
  </si>
  <si>
    <t>stm32f4xx_hal_gpio.o</t>
  </si>
  <si>
    <t>__printf_flags_ss_wp.o</t>
  </si>
  <si>
    <t>bigflt0.o</t>
  </si>
  <si>
    <t>stm32f4xx_hal_cortex.o</t>
  </si>
  <si>
    <t>dmul.o</t>
  </si>
  <si>
    <t>lc_ctype_c.o</t>
  </si>
  <si>
    <t>lludivv7m.o</t>
  </si>
  <si>
    <t>stm32f4xx_ll_fsmc.o</t>
  </si>
  <si>
    <t>sys.o</t>
  </si>
  <si>
    <t>_printf_wctomb.o</t>
  </si>
  <si>
    <t>_printf_hex_int_ll_ptr.o</t>
  </si>
  <si>
    <t>_printf_intcommon.o</t>
  </si>
  <si>
    <t>dnaninf.o</t>
  </si>
  <si>
    <t>led.o</t>
  </si>
  <si>
    <t>list.o</t>
  </si>
  <si>
    <t>rt_memcpy_v6.o</t>
  </si>
  <si>
    <t>lludiv10.o</t>
  </si>
  <si>
    <t>usbd_ioreq.o</t>
  </si>
  <si>
    <t>strcmpv7m.o</t>
  </si>
  <si>
    <t>_printf_fp_infnan.o</t>
  </si>
  <si>
    <t>_printf_longlong_dec.o</t>
  </si>
  <si>
    <t>_printf_dec.o</t>
  </si>
  <si>
    <t>_printf_oct_int_ll.o</t>
  </si>
  <si>
    <t>rt_memcpy_w.o</t>
  </si>
  <si>
    <t>dfixu.o</t>
  </si>
  <si>
    <t>stm32f4xx_hal_sram.o</t>
  </si>
  <si>
    <t>main.o</t>
  </si>
  <si>
    <t>_printf_str.o</t>
  </si>
  <si>
    <t>rt_memclr_w.o</t>
  </si>
  <si>
    <t>_printf_pad.o</t>
  </si>
  <si>
    <t>sys_stackheap_outer.o</t>
  </si>
  <si>
    <t>lc_numeric_c.o</t>
  </si>
  <si>
    <t>rt_memclr.o</t>
  </si>
  <si>
    <t>_wcrtomb.o</t>
  </si>
  <si>
    <t>vsnprintf.o</t>
  </si>
  <si>
    <t>__scatter.o</t>
  </si>
  <si>
    <t>m_wm.l</t>
  </si>
  <si>
    <t>fpclassify.o</t>
  </si>
  <si>
    <t>_printf_char_common.o</t>
  </si>
  <si>
    <t>_printf_wchar.o</t>
  </si>
  <si>
    <t>_printf_char.o</t>
  </si>
  <si>
    <t>_printf_charcount.o</t>
  </si>
  <si>
    <t>dflt_clz.o</t>
  </si>
  <si>
    <t>_printf_truncate.o</t>
  </si>
  <si>
    <t>_printf_char_file.o</t>
  </si>
  <si>
    <t>libinit2.o</t>
  </si>
  <si>
    <t>__scatter_zi.o</t>
  </si>
  <si>
    <t>__scatter_copy.o</t>
  </si>
  <si>
    <t>__2printf.o</t>
  </si>
  <si>
    <t>stm32f4xx_it.o</t>
  </si>
  <si>
    <t>exit.o</t>
  </si>
  <si>
    <t>rt_ctype_table.o</t>
  </si>
  <si>
    <t>aeabi_memset.o</t>
  </si>
  <si>
    <t>_snputc.o</t>
  </si>
  <si>
    <t>__printf_wp.o</t>
  </si>
  <si>
    <t>dretinf.o</t>
  </si>
  <si>
    <t>__rtentry2.o</t>
  </si>
  <si>
    <t>fpinit.o</t>
  </si>
  <si>
    <t>rtexit2.o</t>
  </si>
  <si>
    <t>_sputc.o</t>
  </si>
  <si>
    <t>_printf_ll.o</t>
  </si>
  <si>
    <t>_printf_l.o</t>
  </si>
  <si>
    <t>rt_locale_intlibspace.o</t>
  </si>
  <si>
    <t>ferror.o</t>
  </si>
  <si>
    <t>__main.o</t>
  </si>
  <si>
    <t>heapauxi.o</t>
  </si>
  <si>
    <t>_printf_x.o</t>
  </si>
  <si>
    <t>_printf_u.o</t>
  </si>
  <si>
    <t>_printf_s.o</t>
  </si>
  <si>
    <t>_printf_p.o</t>
  </si>
  <si>
    <t>_printf_o.o</t>
  </si>
  <si>
    <t>_printf_n.o</t>
  </si>
  <si>
    <t>_printf_ls.o</t>
  </si>
  <si>
    <t>_printf_llx.o</t>
  </si>
  <si>
    <t>_printf_llu.o</t>
  </si>
  <si>
    <t>_printf_llo.o</t>
  </si>
  <si>
    <t>_printf_lli.o</t>
  </si>
  <si>
    <t>_printf_lld.o</t>
  </si>
  <si>
    <t>_printf_lc.o</t>
  </si>
  <si>
    <t>_printf_i.o</t>
  </si>
  <si>
    <t>_printf_g.o</t>
  </si>
  <si>
    <t>_printf_f.o</t>
  </si>
  <si>
    <t>_printf_e.o</t>
  </si>
  <si>
    <t>_printf_d.o</t>
  </si>
  <si>
    <t>_printf_c.o</t>
  </si>
  <si>
    <t>_printf_a.o</t>
  </si>
  <si>
    <t>__rtentry4.o</t>
  </si>
  <si>
    <t>printf2.o</t>
  </si>
  <si>
    <t>printf1.o</t>
  </si>
  <si>
    <t>_printf_percent_end.o</t>
  </si>
  <si>
    <t>use_no_semi_2.o</t>
  </si>
  <si>
    <t>use_no_semi.o</t>
  </si>
  <si>
    <t>rtexit.o</t>
  </si>
  <si>
    <t>libshutdown2.o</t>
  </si>
  <si>
    <t>libshutdown.o</t>
  </si>
  <si>
    <t>libinit.o</t>
  </si>
  <si>
    <t>stm32f4xx_hal_pcd_ex.o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</si>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</sst>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ram_percent!$A$3:$A$133</c:f>
              <c:strCache>
                <c:ptCount val="131"/>
                <c:pt idx="0">
                  <c:v>heap_4.o</c:v>
                </c:pt>
                <c:pt idx="1">
                  <c:v>malloc.o</c:v>
                </c:pt>
                <c:pt idx="2">
                  <c:v>usbd_conf.o</c:v>
                </c:pt>
                <c:pt idx="3">
                  <c:v>startup_stm32f407xx.o</c:v>
                </c:pt>
                <c:pt idx="4">
                  <c:v>tasks.o</c:v>
                </c:pt>
                <c:pt idx="5">
                  <c:v>usart.o</c:v>
                </c:pt>
                <c:pt idx="6">
                  <c:v>c_w.l</c:v>
                </c:pt>
                <c:pt idx="7">
                  <c:v>libspace.o</c:v>
                </c:pt>
                <c:pt idx="8">
                  <c:v>dma.o</c:v>
                </c:pt>
                <c:pt idx="9">
                  <c:v>lcd.o</c:v>
                </c:pt>
                <c:pt idx="10">
                  <c:v>can.o</c:v>
                </c:pt>
                <c:pt idx="11">
                  <c:v>queue.o</c:v>
                </c:pt>
                <c:pt idx="12">
                  <c:v>timers.o</c:v>
                </c:pt>
                <c:pt idx="13">
                  <c:v>port.o</c:v>
                </c:pt>
                <c:pt idx="14">
                  <c:v>stm32f4xx_hal.o</c:v>
                </c:pt>
                <c:pt idx="15">
                  <c:v>can_task.o</c:v>
                </c:pt>
                <c:pt idx="16">
                  <c:v>system_stm32f4xx.o</c:v>
                </c:pt>
                <c:pt idx="17">
                  <c:v>led_task.o</c:v>
                </c:pt>
                <c:pt idx="18">
                  <c:v>freertos_start.o</c:v>
                </c:pt>
                <c:pt idx="19">
                  <c:v>delay.o</c:v>
                </c:pt>
                <c:pt idx="20">
                  <c:v>ai_task.o</c:v>
                </c:pt>
                <c:pt idx="21">
                  <c:v>usbd_ctlreq.o</c:v>
                </c:pt>
                <c:pt idx="130">
                  <c:v>Totals</c:v>
                </c:pt>
              </c:strCache>
            </c:strRef>
          </c:cat>
          <c:val>
            <c:numRef>
              <c:f>ram_percent!$B$3:$B$133</c:f>
              <c:numCache>
                <c:formatCode>General</c:formatCode>
                <c:ptCount val="131"/>
                <c:pt idx="0">
                  <c:v>56.0035514831543</c:v>
                </c:pt>
                <c:pt idx="1">
                  <c:v>39.68436431884766</c:v>
                </c:pt>
                <c:pt idx="2">
                  <c:v>1.176229476928711</c:v>
                </c:pt>
                <c:pt idx="3">
                  <c:v>1.165981531143189</c:v>
                </c:pt>
                <c:pt idx="4">
                  <c:v>0.9154776930809021</c:v>
                </c:pt>
                <c:pt idx="5">
                  <c:v>0.3165457844734192</c:v>
                </c:pt>
                <c:pt idx="6">
                  <c:v>0.1093107759952545</c:v>
                </c:pt>
                <c:pt idx="7">
                  <c:v>0.1093107759952545</c:v>
                </c:pt>
                <c:pt idx="8">
                  <c:v>0.1093107759952545</c:v>
                </c:pt>
                <c:pt idx="9">
                  <c:v>0.1070334613323212</c:v>
                </c:pt>
                <c:pt idx="10">
                  <c:v>0.1047561541199684</c:v>
                </c:pt>
                <c:pt idx="11">
                  <c:v>0.07287384569644928</c:v>
                </c:pt>
                <c:pt idx="12">
                  <c:v>0.06831923127174377</c:v>
                </c:pt>
                <c:pt idx="13">
                  <c:v>0.01366384699940682</c:v>
                </c:pt>
                <c:pt idx="14">
                  <c:v>0.01024788524955511</c:v>
                </c:pt>
                <c:pt idx="15">
                  <c:v>0.00910923071205616</c:v>
                </c:pt>
                <c:pt idx="16">
                  <c:v>0.00455461535602808</c:v>
                </c:pt>
                <c:pt idx="17">
                  <c:v>0.00455461535602808</c:v>
                </c:pt>
                <c:pt idx="18">
                  <c:v>0.00455461535602808</c:v>
                </c:pt>
                <c:pt idx="19">
                  <c:v>0.00455461535602808</c:v>
                </c:pt>
                <c:pt idx="20">
                  <c:v>0.00455461535602808</c:v>
                </c:pt>
                <c:pt idx="21">
                  <c:v>0.00113865383900702</c:v>
                </c:pt>
                <c:pt idx="130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flash_percent!$A$3:$A$133</c:f>
              <c:strCache>
                <c:ptCount val="131"/>
                <c:pt idx="0">
                  <c:v>lcd.o</c:v>
                </c:pt>
                <c:pt idx="1">
                  <c:v>c_w.l</c:v>
                </c:pt>
                <c:pt idx="2">
                  <c:v>tasks.o</c:v>
                </c:pt>
                <c:pt idx="3">
                  <c:v>stm32f4xx_hal_pcd.o</c:v>
                </c:pt>
                <c:pt idx="4">
                  <c:v>stm32f4xx_ll_usb.o</c:v>
                </c:pt>
                <c:pt idx="5">
                  <c:v>stm32f4xx_hal_uart.o</c:v>
                </c:pt>
                <c:pt idx="6">
                  <c:v>usbd_ctlreq.o</c:v>
                </c:pt>
                <c:pt idx="7">
                  <c:v>btod.o</c:v>
                </c:pt>
                <c:pt idx="8">
                  <c:v>stm32f4xx_hal_rcc.o</c:v>
                </c:pt>
                <c:pt idx="9">
                  <c:v>queue.o</c:v>
                </c:pt>
                <c:pt idx="10">
                  <c:v>stm32f4xx_hal_dma.o</c:v>
                </c:pt>
                <c:pt idx="11">
                  <c:v>stm32f4xx_hal_can.o</c:v>
                </c:pt>
                <c:pt idx="12">
                  <c:v>port.o</c:v>
                </c:pt>
                <c:pt idx="13">
                  <c:v>timers.o</c:v>
                </c:pt>
                <c:pt idx="14">
                  <c:v>_printf_fp_dec.o</c:v>
                </c:pt>
                <c:pt idx="15">
                  <c:v>usbd_core.o</c:v>
                </c:pt>
                <c:pt idx="16">
                  <c:v>heap_4.o</c:v>
                </c:pt>
                <c:pt idx="17">
                  <c:v>_printf_fp_hex.o</c:v>
                </c:pt>
                <c:pt idx="18">
                  <c:v>fz_wm.l</c:v>
                </c:pt>
                <c:pt idx="19">
                  <c:v>usart.o</c:v>
                </c:pt>
                <c:pt idx="20">
                  <c:v>stm32f4xx_hal_gpio.o</c:v>
                </c:pt>
                <c:pt idx="21">
                  <c:v>usbd_conf.o</c:v>
                </c:pt>
                <c:pt idx="22">
                  <c:v>startup_stm32f407xx.o</c:v>
                </c:pt>
                <c:pt idx="23">
                  <c:v>can.o</c:v>
                </c:pt>
                <c:pt idx="24">
                  <c:v>__printf_flags_ss_wp.o</c:v>
                </c:pt>
                <c:pt idx="25">
                  <c:v>bigflt0.o</c:v>
                </c:pt>
                <c:pt idx="26">
                  <c:v>stm32f4xx_hal_cortex.o</c:v>
                </c:pt>
                <c:pt idx="27">
                  <c:v>dmul.o</c:v>
                </c:pt>
                <c:pt idx="28">
                  <c:v>lc_ctype_c.o</c:v>
                </c:pt>
                <c:pt idx="29">
                  <c:v>lludivv7m.o</c:v>
                </c:pt>
                <c:pt idx="30">
                  <c:v>stm32f4xx_ll_fsmc.o</c:v>
                </c:pt>
                <c:pt idx="31">
                  <c:v>malloc.o</c:v>
                </c:pt>
                <c:pt idx="32">
                  <c:v>sys.o</c:v>
                </c:pt>
                <c:pt idx="33">
                  <c:v>dma.o</c:v>
                </c:pt>
                <c:pt idx="34">
                  <c:v>_printf_wctomb.o</c:v>
                </c:pt>
                <c:pt idx="35">
                  <c:v>_printf_hex_int_ll_ptr.o</c:v>
                </c:pt>
                <c:pt idx="36">
                  <c:v>stm32f4xx_hal.o</c:v>
                </c:pt>
                <c:pt idx="37">
                  <c:v>_printf_intcommon.o</c:v>
                </c:pt>
                <c:pt idx="38">
                  <c:v>delay.o</c:v>
                </c:pt>
                <c:pt idx="39">
                  <c:v>dnaninf.o</c:v>
                </c:pt>
                <c:pt idx="40">
                  <c:v>led.o</c:v>
                </c:pt>
                <c:pt idx="41">
                  <c:v>list.o</c:v>
                </c:pt>
                <c:pt idx="42">
                  <c:v>rt_memcpy_v6.o</c:v>
                </c:pt>
                <c:pt idx="43">
                  <c:v>lludiv10.o</c:v>
                </c:pt>
                <c:pt idx="44">
                  <c:v>usbd_ioreq.o</c:v>
                </c:pt>
                <c:pt idx="45">
                  <c:v>strcmpv7m.o</c:v>
                </c:pt>
                <c:pt idx="46">
                  <c:v>_printf_fp_infnan.o</c:v>
                </c:pt>
                <c:pt idx="47">
                  <c:v>_printf_longlong_dec.o</c:v>
                </c:pt>
                <c:pt idx="48">
                  <c:v>_printf_dec.o</c:v>
                </c:pt>
                <c:pt idx="49">
                  <c:v>can_task.o</c:v>
                </c:pt>
                <c:pt idx="50">
                  <c:v>_printf_oct_int_ll.o</c:v>
                </c:pt>
                <c:pt idx="51">
                  <c:v>ai_task.o</c:v>
                </c:pt>
                <c:pt idx="52">
                  <c:v>led_task.o</c:v>
                </c:pt>
                <c:pt idx="53">
                  <c:v>rt_memcpy_w.o</c:v>
                </c:pt>
                <c:pt idx="54">
                  <c:v>freertos_start.o</c:v>
                </c:pt>
                <c:pt idx="55">
                  <c:v>dfixu.o</c:v>
                </c:pt>
                <c:pt idx="56">
                  <c:v>stm32f4xx_hal_sram.o</c:v>
                </c:pt>
                <c:pt idx="57">
                  <c:v>main.o</c:v>
                </c:pt>
                <c:pt idx="58">
                  <c:v>_printf_str.o</c:v>
                </c:pt>
                <c:pt idx="59">
                  <c:v>rt_memclr_w.o</c:v>
                </c:pt>
                <c:pt idx="60">
                  <c:v>_printf_pad.o</c:v>
                </c:pt>
                <c:pt idx="61">
                  <c:v>sys_stackheap_outer.o</c:v>
                </c:pt>
                <c:pt idx="62">
                  <c:v>lc_numeric_c.o</c:v>
                </c:pt>
                <c:pt idx="63">
                  <c:v>rt_memclr.o</c:v>
                </c:pt>
                <c:pt idx="64">
                  <c:v>_wcrtomb.o</c:v>
                </c:pt>
                <c:pt idx="65">
                  <c:v>vsnprintf.o</c:v>
                </c:pt>
                <c:pt idx="66">
                  <c:v>__scatter.o</c:v>
                </c:pt>
                <c:pt idx="67">
                  <c:v>m_wm.l</c:v>
                </c:pt>
                <c:pt idx="68">
                  <c:v>fpclassify.o</c:v>
                </c:pt>
                <c:pt idx="69">
                  <c:v>_printf_char_common.o</c:v>
                </c:pt>
                <c:pt idx="70">
                  <c:v>system_stm32f4xx.o</c:v>
                </c:pt>
                <c:pt idx="71">
                  <c:v>_printf_wchar.o</c:v>
                </c:pt>
                <c:pt idx="72">
                  <c:v>_printf_char.o</c:v>
                </c:pt>
                <c:pt idx="73">
                  <c:v>_printf_charcount.o</c:v>
                </c:pt>
                <c:pt idx="74">
                  <c:v>dflt_clz.o</c:v>
                </c:pt>
                <c:pt idx="75">
                  <c:v>_printf_truncate.o</c:v>
                </c:pt>
                <c:pt idx="76">
                  <c:v>_printf_char_file.o</c:v>
                </c:pt>
                <c:pt idx="77">
                  <c:v>libinit2.o</c:v>
                </c:pt>
                <c:pt idx="78">
                  <c:v>__scatter_zi.o</c:v>
                </c:pt>
                <c:pt idx="79">
                  <c:v>__scatter_copy.o</c:v>
                </c:pt>
                <c:pt idx="80">
                  <c:v>__2printf.o</c:v>
                </c:pt>
                <c:pt idx="81">
                  <c:v>stm32f4xx_it.o</c:v>
                </c:pt>
                <c:pt idx="82">
                  <c:v>exit.o</c:v>
                </c:pt>
                <c:pt idx="83">
                  <c:v>rt_ctype_table.o</c:v>
                </c:pt>
                <c:pt idx="84">
                  <c:v>aeabi_memset.o</c:v>
                </c:pt>
                <c:pt idx="85">
                  <c:v>_snputc.o</c:v>
                </c:pt>
                <c:pt idx="86">
                  <c:v>__printf_wp.o</c:v>
                </c:pt>
                <c:pt idx="87">
                  <c:v>dretinf.o</c:v>
                </c:pt>
                <c:pt idx="88">
                  <c:v>__rtentry2.o</c:v>
                </c:pt>
                <c:pt idx="89">
                  <c:v>fpinit.o</c:v>
                </c:pt>
                <c:pt idx="90">
                  <c:v>rtexit2.o</c:v>
                </c:pt>
                <c:pt idx="91">
                  <c:v>_sputc.o</c:v>
                </c:pt>
                <c:pt idx="92">
                  <c:v>_printf_ll.o</c:v>
                </c:pt>
                <c:pt idx="93">
                  <c:v>_printf_l.o</c:v>
                </c:pt>
                <c:pt idx="94">
                  <c:v>rt_locale_intlibspace.o</c:v>
                </c:pt>
                <c:pt idx="95">
                  <c:v>libspace.o</c:v>
                </c:pt>
                <c:pt idx="96">
                  <c:v>ferror.o</c:v>
                </c:pt>
                <c:pt idx="97">
                  <c:v>__main.o</c:v>
                </c:pt>
                <c:pt idx="98">
                  <c:v>heapauxi.o</c:v>
                </c:pt>
                <c:pt idx="99">
                  <c:v>_printf_x.o</c:v>
                </c:pt>
                <c:pt idx="100">
                  <c:v>_printf_u.o</c:v>
                </c:pt>
                <c:pt idx="101">
                  <c:v>_printf_s.o</c:v>
                </c:pt>
                <c:pt idx="102">
                  <c:v>_printf_p.o</c:v>
                </c:pt>
                <c:pt idx="103">
                  <c:v>_printf_o.o</c:v>
                </c:pt>
                <c:pt idx="104">
                  <c:v>_printf_n.o</c:v>
                </c:pt>
                <c:pt idx="105">
                  <c:v>_printf_ls.o</c:v>
                </c:pt>
                <c:pt idx="106">
                  <c:v>_printf_llx.o</c:v>
                </c:pt>
                <c:pt idx="107">
                  <c:v>_printf_llu.o</c:v>
                </c:pt>
                <c:pt idx="108">
                  <c:v>_printf_llo.o</c:v>
                </c:pt>
                <c:pt idx="109">
                  <c:v>_printf_lli.o</c:v>
                </c:pt>
                <c:pt idx="110">
                  <c:v>_printf_lld.o</c:v>
                </c:pt>
                <c:pt idx="111">
                  <c:v>_printf_lc.o</c:v>
                </c:pt>
                <c:pt idx="112">
                  <c:v>_printf_i.o</c:v>
                </c:pt>
                <c:pt idx="113">
                  <c:v>_printf_g.o</c:v>
                </c:pt>
                <c:pt idx="114">
                  <c:v>_printf_f.o</c:v>
                </c:pt>
                <c:pt idx="115">
                  <c:v>_printf_e.o</c:v>
                </c:pt>
                <c:pt idx="116">
                  <c:v>_printf_d.o</c:v>
                </c:pt>
                <c:pt idx="117">
                  <c:v>_printf_c.o</c:v>
                </c:pt>
                <c:pt idx="118">
                  <c:v>_printf_a.o</c:v>
                </c:pt>
                <c:pt idx="119">
                  <c:v>__rtentry4.o</c:v>
                </c:pt>
                <c:pt idx="120">
                  <c:v>printf2.o</c:v>
                </c:pt>
                <c:pt idx="121">
                  <c:v>printf1.o</c:v>
                </c:pt>
                <c:pt idx="122">
                  <c:v>_printf_percent_end.o</c:v>
                </c:pt>
                <c:pt idx="123">
                  <c:v>use_no_semi_2.o</c:v>
                </c:pt>
                <c:pt idx="124">
                  <c:v>use_no_semi.o</c:v>
                </c:pt>
                <c:pt idx="125">
                  <c:v>rtexit.o</c:v>
                </c:pt>
                <c:pt idx="126">
                  <c:v>libshutdown2.o</c:v>
                </c:pt>
                <c:pt idx="127">
                  <c:v>libshutdown.o</c:v>
                </c:pt>
                <c:pt idx="128">
                  <c:v>libinit.o</c:v>
                </c:pt>
                <c:pt idx="129">
                  <c:v>stm32f4xx_hal_pcd_ex.o</c:v>
                </c:pt>
                <c:pt idx="130">
                  <c:v>Totals</c:v>
                </c:pt>
              </c:strCache>
            </c:strRef>
          </c:cat>
          <c:val>
            <c:numRef>
              <c:f>flash_percent!$B$3:$B$133</c:f>
              <c:numCache>
                <c:formatCode>General</c:formatCode>
                <c:ptCount val="131"/>
                <c:pt idx="0">
                  <c:v>22.31991004943848</c:v>
                </c:pt>
                <c:pt idx="1">
                  <c:v>13.42866325378418</c:v>
                </c:pt>
                <c:pt idx="2">
                  <c:v>6.726963520050049</c:v>
                </c:pt>
                <c:pt idx="3">
                  <c:v>4.493625164031982</c:v>
                </c:pt>
                <c:pt idx="4">
                  <c:v>4.301618576049805</c:v>
                </c:pt>
                <c:pt idx="5">
                  <c:v>3.570646524429321</c:v>
                </c:pt>
                <c:pt idx="6">
                  <c:v>3.464537858963013</c:v>
                </c:pt>
                <c:pt idx="7">
                  <c:v>3.260741472244263</c:v>
                </c:pt>
                <c:pt idx="8">
                  <c:v>3.065366506576538</c:v>
                </c:pt>
                <c:pt idx="9">
                  <c:v>2.651036739349365</c:v>
                </c:pt>
                <c:pt idx="10">
                  <c:v>2.617351293563843</c:v>
                </c:pt>
                <c:pt idx="11">
                  <c:v>2.088491439819336</c:v>
                </c:pt>
                <c:pt idx="12">
                  <c:v>1.977329730987549</c:v>
                </c:pt>
                <c:pt idx="13">
                  <c:v>1.856062531471252</c:v>
                </c:pt>
                <c:pt idx="14">
                  <c:v>1.775217652320862</c:v>
                </c:pt>
                <c:pt idx="15">
                  <c:v>1.49562931060791</c:v>
                </c:pt>
                <c:pt idx="16">
                  <c:v>1.482155203819275</c:v>
                </c:pt>
                <c:pt idx="17">
                  <c:v>1.35078239440918</c:v>
                </c:pt>
                <c:pt idx="18">
                  <c:v>1.101510763168335</c:v>
                </c:pt>
                <c:pt idx="19">
                  <c:v>0.9465581774711609</c:v>
                </c:pt>
                <c:pt idx="20">
                  <c:v>0.8892931342124939</c:v>
                </c:pt>
                <c:pt idx="21">
                  <c:v>0.8572920560836792</c:v>
                </c:pt>
                <c:pt idx="22">
                  <c:v>0.7882370948791504</c:v>
                </c:pt>
                <c:pt idx="23">
                  <c:v>0.7006551623344421</c:v>
                </c:pt>
                <c:pt idx="24">
                  <c:v>0.6888653039932251</c:v>
                </c:pt>
                <c:pt idx="25">
                  <c:v>0.6332845091819763</c:v>
                </c:pt>
                <c:pt idx="26">
                  <c:v>0.5793879628181458</c:v>
                </c:pt>
                <c:pt idx="27">
                  <c:v>0.5726508498191834</c:v>
                </c:pt>
                <c:pt idx="28">
                  <c:v>0.5322284698486328</c:v>
                </c:pt>
                <c:pt idx="29">
                  <c:v>0.4008556008338928</c:v>
                </c:pt>
                <c:pt idx="30">
                  <c:v>0.390749990940094</c:v>
                </c:pt>
                <c:pt idx="31">
                  <c:v>0.3772758543491364</c:v>
                </c:pt>
                <c:pt idx="32">
                  <c:v>0.3435905277729034</c:v>
                </c:pt>
                <c:pt idx="33">
                  <c:v>0.3368534445762634</c:v>
                </c:pt>
                <c:pt idx="34">
                  <c:v>0.3301163911819458</c:v>
                </c:pt>
                <c:pt idx="35">
                  <c:v>0.3166422545909882</c:v>
                </c:pt>
                <c:pt idx="36">
                  <c:v>0.3082209229469299</c:v>
                </c:pt>
                <c:pt idx="37">
                  <c:v>0.2997995615005493</c:v>
                </c:pt>
                <c:pt idx="38">
                  <c:v>0.2964310348033905</c:v>
                </c:pt>
                <c:pt idx="39">
                  <c:v>0.2627456784248352</c:v>
                </c:pt>
                <c:pt idx="40">
                  <c:v>0.2560086250305176</c:v>
                </c:pt>
                <c:pt idx="41">
                  <c:v>0.2492715567350388</c:v>
                </c:pt>
                <c:pt idx="42">
                  <c:v>0.2324288785457611</c:v>
                </c:pt>
                <c:pt idx="43">
                  <c:v>0.2324288785457611</c:v>
                </c:pt>
                <c:pt idx="44">
                  <c:v>0.2256918102502823</c:v>
                </c:pt>
                <c:pt idx="45">
                  <c:v>0.2155862152576447</c:v>
                </c:pt>
                <c:pt idx="46">
                  <c:v>0.2155862152576447</c:v>
                </c:pt>
                <c:pt idx="47">
                  <c:v>0.2088491469621658</c:v>
                </c:pt>
                <c:pt idx="48">
                  <c:v>0.2021120637655258</c:v>
                </c:pt>
                <c:pt idx="49">
                  <c:v>0.195374995470047</c:v>
                </c:pt>
                <c:pt idx="50">
                  <c:v>0.1886379271745682</c:v>
                </c:pt>
                <c:pt idx="51">
                  <c:v>0.1819008588790894</c:v>
                </c:pt>
                <c:pt idx="52">
                  <c:v>0.1751637905836105</c:v>
                </c:pt>
                <c:pt idx="53">
                  <c:v>0.1684267222881317</c:v>
                </c:pt>
                <c:pt idx="54">
                  <c:v>0.1549525856971741</c:v>
                </c:pt>
                <c:pt idx="55">
                  <c:v>0.1515840590000153</c:v>
                </c:pt>
                <c:pt idx="56">
                  <c:v>0.1482155174016953</c:v>
                </c:pt>
                <c:pt idx="57">
                  <c:v>0.1482155174016953</c:v>
                </c:pt>
                <c:pt idx="58">
                  <c:v>0.1381099224090576</c:v>
                </c:pt>
                <c:pt idx="59">
                  <c:v>0.1313728392124176</c:v>
                </c:pt>
                <c:pt idx="60">
                  <c:v>0.1313728392124176</c:v>
                </c:pt>
                <c:pt idx="61">
                  <c:v>0.1246357783675194</c:v>
                </c:pt>
                <c:pt idx="62">
                  <c:v>0.12126724421978</c:v>
                </c:pt>
                <c:pt idx="63">
                  <c:v>0.1145301759243012</c:v>
                </c:pt>
                <c:pt idx="64">
                  <c:v>0.1077931076288223</c:v>
                </c:pt>
                <c:pt idx="65">
                  <c:v>0.08758189529180527</c:v>
                </c:pt>
                <c:pt idx="66">
                  <c:v>0.08758189529180527</c:v>
                </c:pt>
                <c:pt idx="67">
                  <c:v>0.08084482699632645</c:v>
                </c:pt>
                <c:pt idx="68">
                  <c:v>0.08084482699632645</c:v>
                </c:pt>
                <c:pt idx="69">
                  <c:v>0.08084482699632645</c:v>
                </c:pt>
                <c:pt idx="70">
                  <c:v>0.08084482699632645</c:v>
                </c:pt>
                <c:pt idx="71">
                  <c:v>0.07410775870084763</c:v>
                </c:pt>
                <c:pt idx="72">
                  <c:v>0.07410775870084763</c:v>
                </c:pt>
                <c:pt idx="73">
                  <c:v>0.06737069040536881</c:v>
                </c:pt>
                <c:pt idx="74">
                  <c:v>0.0640021562576294</c:v>
                </c:pt>
                <c:pt idx="75">
                  <c:v>0.06063362210988998</c:v>
                </c:pt>
                <c:pt idx="76">
                  <c:v>0.06063362210988998</c:v>
                </c:pt>
                <c:pt idx="77">
                  <c:v>0.05726508796215057</c:v>
                </c:pt>
                <c:pt idx="78">
                  <c:v>0.04715948179364204</c:v>
                </c:pt>
                <c:pt idx="79">
                  <c:v>0.04379094764590263</c:v>
                </c:pt>
                <c:pt idx="80">
                  <c:v>0.04042241349816322</c:v>
                </c:pt>
                <c:pt idx="81">
                  <c:v>0.0336853452026844</c:v>
                </c:pt>
                <c:pt idx="82">
                  <c:v>0.03031681105494499</c:v>
                </c:pt>
                <c:pt idx="83">
                  <c:v>0.02694827690720558</c:v>
                </c:pt>
                <c:pt idx="84">
                  <c:v>0.02694827690720558</c:v>
                </c:pt>
                <c:pt idx="85">
                  <c:v>0.02694827690720558</c:v>
                </c:pt>
                <c:pt idx="86">
                  <c:v>0.02357974089682102</c:v>
                </c:pt>
                <c:pt idx="87">
                  <c:v>0.02021120674908161</c:v>
                </c:pt>
                <c:pt idx="88">
                  <c:v>0.02021120674908161</c:v>
                </c:pt>
                <c:pt idx="89">
                  <c:v>0.0168426726013422</c:v>
                </c:pt>
                <c:pt idx="90">
                  <c:v>0.0168426726013422</c:v>
                </c:pt>
                <c:pt idx="91">
                  <c:v>0.0168426726013422</c:v>
                </c:pt>
                <c:pt idx="92">
                  <c:v>0.0168426726013422</c:v>
                </c:pt>
                <c:pt idx="93">
                  <c:v>0.0168426726013422</c:v>
                </c:pt>
                <c:pt idx="94">
                  <c:v>0.01347413845360279</c:v>
                </c:pt>
                <c:pt idx="95">
                  <c:v>0.01347413845360279</c:v>
                </c:pt>
                <c:pt idx="96">
                  <c:v>0.01347413845360279</c:v>
                </c:pt>
                <c:pt idx="97">
                  <c:v>0.01347413845360279</c:v>
                </c:pt>
                <c:pt idx="98">
                  <c:v>0.01010560337454081</c:v>
                </c:pt>
                <c:pt idx="99">
                  <c:v>0.01010560337454081</c:v>
                </c:pt>
                <c:pt idx="100">
                  <c:v>0.01010560337454081</c:v>
                </c:pt>
                <c:pt idx="101">
                  <c:v>0.01010560337454081</c:v>
                </c:pt>
                <c:pt idx="102">
                  <c:v>0.01010560337454081</c:v>
                </c:pt>
                <c:pt idx="103">
                  <c:v>0.01010560337454081</c:v>
                </c:pt>
                <c:pt idx="104">
                  <c:v>0.01010560337454081</c:v>
                </c:pt>
                <c:pt idx="105">
                  <c:v>0.01010560337454081</c:v>
                </c:pt>
                <c:pt idx="106">
                  <c:v>0.01010560337454081</c:v>
                </c:pt>
                <c:pt idx="107">
                  <c:v>0.01010560337454081</c:v>
                </c:pt>
                <c:pt idx="108">
                  <c:v>0.01010560337454081</c:v>
                </c:pt>
                <c:pt idx="109">
                  <c:v>0.01010560337454081</c:v>
                </c:pt>
                <c:pt idx="110">
                  <c:v>0.01010560337454081</c:v>
                </c:pt>
                <c:pt idx="111">
                  <c:v>0.01010560337454081</c:v>
                </c:pt>
                <c:pt idx="112">
                  <c:v>0.01010560337454081</c:v>
                </c:pt>
                <c:pt idx="113">
                  <c:v>0.01010560337454081</c:v>
                </c:pt>
                <c:pt idx="114">
                  <c:v>0.01010560337454081</c:v>
                </c:pt>
                <c:pt idx="115">
                  <c:v>0.01010560337454081</c:v>
                </c:pt>
                <c:pt idx="116">
                  <c:v>0.01010560337454081</c:v>
                </c:pt>
                <c:pt idx="117">
                  <c:v>0.01010560337454081</c:v>
                </c:pt>
                <c:pt idx="118">
                  <c:v>0.01010560337454081</c:v>
                </c:pt>
                <c:pt idx="119">
                  <c:v>0.01010560337454081</c:v>
                </c:pt>
                <c:pt idx="120">
                  <c:v>0.006737069226801395</c:v>
                </c:pt>
                <c:pt idx="121">
                  <c:v>0.006737069226801395</c:v>
                </c:pt>
                <c:pt idx="122">
                  <c:v>0.006737069226801395</c:v>
                </c:pt>
                <c:pt idx="123">
                  <c:v>0.003368534613400698</c:v>
                </c:pt>
                <c:pt idx="124">
                  <c:v>0.003368534613400698</c:v>
                </c:pt>
                <c:pt idx="125">
                  <c:v>0.003368534613400698</c:v>
                </c:pt>
                <c:pt idx="126">
                  <c:v>0.003368534613400698</c:v>
                </c:pt>
                <c:pt idx="127">
                  <c:v>0.003368534613400698</c:v>
                </c:pt>
                <c:pt idx="128">
                  <c:v>0.003368534613400698</c:v>
                </c:pt>
                <c:pt idx="129">
                  <c:v>0.003368534613400698</c:v>
                </c:pt>
                <c:pt idx="130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133" totalsRowCount="1">
  <autoFilter ref="A2:H132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133" totalsRowCount="1">
  <autoFilter ref="A2:H132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133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131</v>
      </c>
      <c r="B2" t="s">
        <v>133</v>
      </c>
      <c r="C2" t="s">
        <v>134</v>
      </c>
      <c r="D2" t="s">
        <v>135</v>
      </c>
      <c r="E2" t="s">
        <v>136</v>
      </c>
      <c r="F2" t="s">
        <v>137</v>
      </c>
      <c r="G2" t="s">
        <v>138</v>
      </c>
      <c r="H2" t="s">
        <v>139</v>
      </c>
    </row>
    <row r="3" spans="1:8">
      <c r="A3" s="1" t="s">
        <v>1</v>
      </c>
      <c r="B3" s="2">
        <v>56.0035514831543</v>
      </c>
      <c r="C3" s="1">
        <v>49184</v>
      </c>
      <c r="D3" s="1">
        <v>880</v>
      </c>
      <c r="E3" s="1">
        <v>848</v>
      </c>
      <c r="F3" s="1">
        <v>0</v>
      </c>
      <c r="G3" s="1">
        <v>32</v>
      </c>
      <c r="H3" s="1">
        <v>49152</v>
      </c>
    </row>
    <row r="4" spans="1:8">
      <c r="A4" s="1" t="s">
        <v>2</v>
      </c>
      <c r="B4" s="2">
        <v>39.68436431884766</v>
      </c>
      <c r="C4" s="1">
        <v>34852</v>
      </c>
      <c r="D4" s="1">
        <v>224</v>
      </c>
      <c r="E4" s="1">
        <v>152</v>
      </c>
      <c r="F4" s="1">
        <v>36</v>
      </c>
      <c r="G4" s="1">
        <v>36</v>
      </c>
      <c r="H4" s="1">
        <v>34816</v>
      </c>
    </row>
    <row r="5" spans="1:8">
      <c r="A5" s="1" t="s">
        <v>3</v>
      </c>
      <c r="B5" s="2">
        <v>1.176229476928711</v>
      </c>
      <c r="C5" s="1">
        <v>1033</v>
      </c>
      <c r="D5" s="1">
        <v>509</v>
      </c>
      <c r="E5" s="1">
        <v>508</v>
      </c>
      <c r="F5" s="1">
        <v>0</v>
      </c>
      <c r="G5" s="1">
        <v>1</v>
      </c>
      <c r="H5" s="1">
        <v>1032</v>
      </c>
    </row>
    <row r="6" spans="1:8">
      <c r="A6" s="1" t="s">
        <v>4</v>
      </c>
      <c r="B6" s="2">
        <v>1.165981531143189</v>
      </c>
      <c r="C6" s="1">
        <v>1024</v>
      </c>
      <c r="D6" s="1">
        <v>468</v>
      </c>
      <c r="E6" s="1">
        <v>76</v>
      </c>
      <c r="F6" s="1">
        <v>392</v>
      </c>
      <c r="G6" s="1">
        <v>0</v>
      </c>
      <c r="H6" s="1">
        <v>1024</v>
      </c>
    </row>
    <row r="7" spans="1:8">
      <c r="A7" s="1" t="s">
        <v>5</v>
      </c>
      <c r="B7" s="2">
        <v>0.9154776930809021</v>
      </c>
      <c r="C7" s="1">
        <v>804</v>
      </c>
      <c r="D7" s="1">
        <v>3994</v>
      </c>
      <c r="E7" s="1">
        <v>3930</v>
      </c>
      <c r="F7" s="1">
        <v>0</v>
      </c>
      <c r="G7" s="1">
        <v>64</v>
      </c>
      <c r="H7" s="1">
        <v>740</v>
      </c>
    </row>
    <row r="8" spans="1:8">
      <c r="A8" s="1" t="s">
        <v>6</v>
      </c>
      <c r="B8" s="2">
        <v>0.3165457844734192</v>
      </c>
      <c r="C8" s="1">
        <v>278</v>
      </c>
      <c r="D8" s="1">
        <v>562</v>
      </c>
      <c r="E8" s="1">
        <v>552</v>
      </c>
      <c r="F8" s="1">
        <v>0</v>
      </c>
      <c r="G8" s="1">
        <v>10</v>
      </c>
      <c r="H8" s="1">
        <v>268</v>
      </c>
    </row>
    <row r="9" spans="1:8">
      <c r="A9" s="1" t="s">
        <v>7</v>
      </c>
      <c r="B9" s="2">
        <v>0.1093107759952545</v>
      </c>
      <c r="C9" s="1">
        <v>96</v>
      </c>
      <c r="D9" s="1">
        <v>7973</v>
      </c>
      <c r="E9" s="1">
        <v>7422</v>
      </c>
      <c r="F9" s="1">
        <v>551</v>
      </c>
      <c r="G9" s="1">
        <v>0</v>
      </c>
      <c r="H9" s="1">
        <v>96</v>
      </c>
    </row>
    <row r="10" spans="1:8">
      <c r="A10" s="1" t="s">
        <v>8</v>
      </c>
      <c r="B10" s="2">
        <v>0.1093107759952545</v>
      </c>
      <c r="C10" s="1">
        <v>96</v>
      </c>
      <c r="D10" s="1">
        <v>8</v>
      </c>
      <c r="E10" s="1">
        <v>8</v>
      </c>
      <c r="F10" s="1">
        <v>0</v>
      </c>
      <c r="G10" s="1">
        <v>0</v>
      </c>
      <c r="H10" s="1">
        <v>96</v>
      </c>
    </row>
    <row r="11" spans="1:8">
      <c r="A11" s="1" t="s">
        <v>9</v>
      </c>
      <c r="B11" s="2">
        <v>0.1093107759952545</v>
      </c>
      <c r="C11" s="1">
        <v>96</v>
      </c>
      <c r="D11" s="1">
        <v>200</v>
      </c>
      <c r="E11" s="1">
        <v>200</v>
      </c>
      <c r="F11" s="1">
        <v>0</v>
      </c>
      <c r="G11" s="1">
        <v>0</v>
      </c>
      <c r="H11" s="1">
        <v>96</v>
      </c>
    </row>
    <row r="12" spans="1:8">
      <c r="A12" s="1" t="s">
        <v>10</v>
      </c>
      <c r="B12" s="2">
        <v>0.1070334613323212</v>
      </c>
      <c r="C12" s="1">
        <v>94</v>
      </c>
      <c r="D12" s="1">
        <v>13252</v>
      </c>
      <c r="E12" s="1">
        <v>13252</v>
      </c>
      <c r="F12" s="1">
        <v>0</v>
      </c>
      <c r="G12" s="1">
        <v>0</v>
      </c>
      <c r="H12" s="1">
        <v>94</v>
      </c>
    </row>
    <row r="13" spans="1:8">
      <c r="A13" s="1" t="s">
        <v>11</v>
      </c>
      <c r="B13" s="2">
        <v>0.1047561541199684</v>
      </c>
      <c r="C13" s="1">
        <v>92</v>
      </c>
      <c r="D13" s="1">
        <v>416</v>
      </c>
      <c r="E13" s="1">
        <v>416</v>
      </c>
      <c r="F13" s="1">
        <v>0</v>
      </c>
      <c r="G13" s="1">
        <v>0</v>
      </c>
      <c r="H13" s="1">
        <v>92</v>
      </c>
    </row>
    <row r="14" spans="1:8">
      <c r="A14" s="1" t="s">
        <v>12</v>
      </c>
      <c r="B14" s="2">
        <v>0.07287384569644928</v>
      </c>
      <c r="C14" s="1">
        <v>64</v>
      </c>
      <c r="D14" s="1">
        <v>1574</v>
      </c>
      <c r="E14" s="1">
        <v>1574</v>
      </c>
      <c r="F14" s="1">
        <v>0</v>
      </c>
      <c r="G14" s="1">
        <v>0</v>
      </c>
      <c r="H14" s="1">
        <v>64</v>
      </c>
    </row>
    <row r="15" spans="1:8">
      <c r="A15" s="1" t="s">
        <v>13</v>
      </c>
      <c r="B15" s="2">
        <v>0.06831923127174377</v>
      </c>
      <c r="C15" s="1">
        <v>60</v>
      </c>
      <c r="D15" s="1">
        <v>1102</v>
      </c>
      <c r="E15" s="1">
        <v>1082</v>
      </c>
      <c r="F15" s="1">
        <v>0</v>
      </c>
      <c r="G15" s="1">
        <v>20</v>
      </c>
      <c r="H15" s="1">
        <v>40</v>
      </c>
    </row>
    <row r="16" spans="1:8">
      <c r="A16" s="1" t="s">
        <v>14</v>
      </c>
      <c r="B16" s="2">
        <v>0.01366384699940682</v>
      </c>
      <c r="C16" s="1">
        <v>12</v>
      </c>
      <c r="D16" s="1">
        <v>1174</v>
      </c>
      <c r="E16" s="1">
        <v>1162</v>
      </c>
      <c r="F16" s="1">
        <v>0</v>
      </c>
      <c r="G16" s="1">
        <v>12</v>
      </c>
      <c r="H16" s="1">
        <v>0</v>
      </c>
    </row>
    <row r="17" spans="1:8">
      <c r="A17" s="1" t="s">
        <v>15</v>
      </c>
      <c r="B17" s="2">
        <v>0.01024788524955511</v>
      </c>
      <c r="C17" s="1">
        <v>9</v>
      </c>
      <c r="D17" s="1">
        <v>183</v>
      </c>
      <c r="E17" s="1">
        <v>174</v>
      </c>
      <c r="F17" s="1">
        <v>0</v>
      </c>
      <c r="G17" s="1">
        <v>9</v>
      </c>
      <c r="H17" s="1">
        <v>0</v>
      </c>
    </row>
    <row r="18" spans="1:8">
      <c r="A18" s="1" t="s">
        <v>16</v>
      </c>
      <c r="B18" s="2">
        <v>0.00910923071205616</v>
      </c>
      <c r="C18" s="1">
        <v>8</v>
      </c>
      <c r="D18" s="1">
        <v>116</v>
      </c>
      <c r="E18" s="1">
        <v>108</v>
      </c>
      <c r="F18" s="1">
        <v>0</v>
      </c>
      <c r="G18" s="1">
        <v>8</v>
      </c>
      <c r="H18" s="1">
        <v>0</v>
      </c>
    </row>
    <row r="19" spans="1:8">
      <c r="A19" s="1" t="s">
        <v>17</v>
      </c>
      <c r="B19" s="2">
        <v>0.00455461535602808</v>
      </c>
      <c r="C19" s="1">
        <v>4</v>
      </c>
      <c r="D19" s="1">
        <v>48</v>
      </c>
      <c r="E19" s="1">
        <v>20</v>
      </c>
      <c r="F19" s="1">
        <v>24</v>
      </c>
      <c r="G19" s="1">
        <v>4</v>
      </c>
      <c r="H19" s="1">
        <v>0</v>
      </c>
    </row>
    <row r="20" spans="1:8">
      <c r="A20" s="1" t="s">
        <v>18</v>
      </c>
      <c r="B20" s="2">
        <v>0.00455461535602808</v>
      </c>
      <c r="C20" s="1">
        <v>4</v>
      </c>
      <c r="D20" s="1">
        <v>104</v>
      </c>
      <c r="E20" s="1">
        <v>100</v>
      </c>
      <c r="F20" s="1">
        <v>0</v>
      </c>
      <c r="G20" s="1">
        <v>4</v>
      </c>
      <c r="H20" s="1">
        <v>0</v>
      </c>
    </row>
    <row r="21" spans="1:8">
      <c r="A21" s="1" t="s">
        <v>19</v>
      </c>
      <c r="B21" s="2">
        <v>0.00455461535602808</v>
      </c>
      <c r="C21" s="1">
        <v>4</v>
      </c>
      <c r="D21" s="1">
        <v>92</v>
      </c>
      <c r="E21" s="1">
        <v>88</v>
      </c>
      <c r="F21" s="1">
        <v>0</v>
      </c>
      <c r="G21" s="1">
        <v>4</v>
      </c>
      <c r="H21" s="1">
        <v>0</v>
      </c>
    </row>
    <row r="22" spans="1:8">
      <c r="A22" s="1" t="s">
        <v>20</v>
      </c>
      <c r="B22" s="2">
        <v>0.00455461535602808</v>
      </c>
      <c r="C22" s="1">
        <v>4</v>
      </c>
      <c r="D22" s="1">
        <v>176</v>
      </c>
      <c r="E22" s="1">
        <v>172</v>
      </c>
      <c r="F22" s="1">
        <v>0</v>
      </c>
      <c r="G22" s="1">
        <v>4</v>
      </c>
      <c r="H22" s="1">
        <v>0</v>
      </c>
    </row>
    <row r="23" spans="1:8">
      <c r="A23" s="1" t="s">
        <v>21</v>
      </c>
      <c r="B23" s="2">
        <v>0.00455461535602808</v>
      </c>
      <c r="C23" s="1">
        <v>4</v>
      </c>
      <c r="D23" s="1">
        <v>108</v>
      </c>
      <c r="E23" s="1">
        <v>104</v>
      </c>
      <c r="F23" s="1">
        <v>0</v>
      </c>
      <c r="G23" s="1">
        <v>4</v>
      </c>
      <c r="H23" s="1">
        <v>0</v>
      </c>
    </row>
    <row r="24" spans="1:8">
      <c r="A24" s="1" t="s">
        <v>22</v>
      </c>
      <c r="B24" s="2">
        <v>0.00113865383900702</v>
      </c>
      <c r="C24" s="1">
        <v>1</v>
      </c>
      <c r="D24" s="1">
        <v>2057</v>
      </c>
      <c r="E24" s="1">
        <v>2056</v>
      </c>
      <c r="F24" s="1">
        <v>0</v>
      </c>
      <c r="G24" s="1">
        <v>1</v>
      </c>
      <c r="H24" s="1">
        <v>0</v>
      </c>
    </row>
    <row r="133" spans="1:8">
      <c r="A133" t="s">
        <v>132</v>
      </c>
      <c r="B133">
        <f>SUBTOTAL(109,[ram_percent])</f>
        <v>0</v>
      </c>
      <c r="C133">
        <f>SUBTOTAL(109,[ram])</f>
        <v>0</v>
      </c>
      <c r="D133">
        <f>SUBTOTAL(109,[flash])</f>
        <v>0</v>
      </c>
      <c r="E133">
        <f>SUBTOTAL(109,[Code])</f>
        <v>0</v>
      </c>
      <c r="F133">
        <f>SUBTOTAL(109,[RO_data])</f>
        <v>0</v>
      </c>
      <c r="G133">
        <f>SUBTOTAL(109,[RW_data])</f>
        <v>0</v>
      </c>
      <c r="H133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133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131</v>
      </c>
      <c r="B2" t="s">
        <v>140</v>
      </c>
      <c r="C2" t="s">
        <v>135</v>
      </c>
      <c r="D2" t="s">
        <v>134</v>
      </c>
      <c r="E2" t="s">
        <v>136</v>
      </c>
      <c r="F2" t="s">
        <v>137</v>
      </c>
      <c r="G2" t="s">
        <v>138</v>
      </c>
      <c r="H2" t="s">
        <v>139</v>
      </c>
    </row>
    <row r="3" spans="1:8">
      <c r="A3" s="1" t="s">
        <v>10</v>
      </c>
      <c r="B3" s="2">
        <v>22.31991004943848</v>
      </c>
      <c r="C3" s="1">
        <v>13252</v>
      </c>
      <c r="D3" s="1">
        <v>94</v>
      </c>
      <c r="E3" s="1">
        <v>13252</v>
      </c>
      <c r="F3" s="1">
        <v>0</v>
      </c>
      <c r="G3" s="1">
        <v>0</v>
      </c>
      <c r="H3" s="1">
        <v>94</v>
      </c>
    </row>
    <row r="4" spans="1:8">
      <c r="A4" s="1" t="s">
        <v>7</v>
      </c>
      <c r="B4" s="2">
        <v>13.42866325378418</v>
      </c>
      <c r="C4" s="1">
        <v>7973</v>
      </c>
      <c r="D4" s="1">
        <v>96</v>
      </c>
      <c r="E4" s="1">
        <v>7422</v>
      </c>
      <c r="F4" s="1">
        <v>551</v>
      </c>
      <c r="G4" s="1">
        <v>0</v>
      </c>
      <c r="H4" s="1">
        <v>96</v>
      </c>
    </row>
    <row r="5" spans="1:8">
      <c r="A5" s="1" t="s">
        <v>5</v>
      </c>
      <c r="B5" s="2">
        <v>6.726963520050049</v>
      </c>
      <c r="C5" s="1">
        <v>3994</v>
      </c>
      <c r="D5" s="1">
        <v>804</v>
      </c>
      <c r="E5" s="1">
        <v>3930</v>
      </c>
      <c r="F5" s="1">
        <v>0</v>
      </c>
      <c r="G5" s="1">
        <v>64</v>
      </c>
      <c r="H5" s="1">
        <v>740</v>
      </c>
    </row>
    <row r="6" spans="1:8">
      <c r="A6" s="1" t="s">
        <v>23</v>
      </c>
      <c r="B6" s="2">
        <v>4.493625164031982</v>
      </c>
      <c r="C6" s="1">
        <v>2668</v>
      </c>
      <c r="D6" s="1">
        <v>0</v>
      </c>
      <c r="E6" s="1">
        <v>2668</v>
      </c>
      <c r="F6" s="1">
        <v>0</v>
      </c>
      <c r="G6" s="1">
        <v>0</v>
      </c>
      <c r="H6" s="1">
        <v>0</v>
      </c>
    </row>
    <row r="7" spans="1:8">
      <c r="A7" s="1" t="s">
        <v>24</v>
      </c>
      <c r="B7" s="2">
        <v>4.301618576049805</v>
      </c>
      <c r="C7" s="1">
        <v>2554</v>
      </c>
      <c r="D7" s="1">
        <v>0</v>
      </c>
      <c r="E7" s="1">
        <v>2554</v>
      </c>
      <c r="F7" s="1">
        <v>0</v>
      </c>
      <c r="G7" s="1">
        <v>0</v>
      </c>
      <c r="H7" s="1">
        <v>0</v>
      </c>
    </row>
    <row r="8" spans="1:8">
      <c r="A8" s="1" t="s">
        <v>25</v>
      </c>
      <c r="B8" s="2">
        <v>3.570646524429321</v>
      </c>
      <c r="C8" s="1">
        <v>2120</v>
      </c>
      <c r="D8" s="1">
        <v>0</v>
      </c>
      <c r="E8" s="1">
        <v>2120</v>
      </c>
      <c r="F8" s="1">
        <v>0</v>
      </c>
      <c r="G8" s="1">
        <v>0</v>
      </c>
      <c r="H8" s="1">
        <v>0</v>
      </c>
    </row>
    <row r="9" spans="1:8">
      <c r="A9" s="1" t="s">
        <v>22</v>
      </c>
      <c r="B9" s="2">
        <v>3.464537858963013</v>
      </c>
      <c r="C9" s="1">
        <v>2057</v>
      </c>
      <c r="D9" s="1">
        <v>1</v>
      </c>
      <c r="E9" s="1">
        <v>2056</v>
      </c>
      <c r="F9" s="1">
        <v>0</v>
      </c>
      <c r="G9" s="1">
        <v>1</v>
      </c>
      <c r="H9" s="1">
        <v>0</v>
      </c>
    </row>
    <row r="10" spans="1:8">
      <c r="A10" s="1" t="s">
        <v>26</v>
      </c>
      <c r="B10" s="2">
        <v>3.260741472244263</v>
      </c>
      <c r="C10" s="1">
        <v>1936</v>
      </c>
      <c r="D10" s="1">
        <v>0</v>
      </c>
      <c r="E10" s="1">
        <v>1936</v>
      </c>
      <c r="F10" s="1">
        <v>0</v>
      </c>
      <c r="G10" s="1">
        <v>0</v>
      </c>
      <c r="H10" s="1">
        <v>0</v>
      </c>
    </row>
    <row r="11" spans="1:8">
      <c r="A11" s="1" t="s">
        <v>27</v>
      </c>
      <c r="B11" s="2">
        <v>3.065366506576538</v>
      </c>
      <c r="C11" s="1">
        <v>1820</v>
      </c>
      <c r="D11" s="1">
        <v>0</v>
      </c>
      <c r="E11" s="1">
        <v>1820</v>
      </c>
      <c r="F11" s="1">
        <v>0</v>
      </c>
      <c r="G11" s="1">
        <v>0</v>
      </c>
      <c r="H11" s="1">
        <v>0</v>
      </c>
    </row>
    <row r="12" spans="1:8">
      <c r="A12" s="1" t="s">
        <v>12</v>
      </c>
      <c r="B12" s="2">
        <v>2.651036739349365</v>
      </c>
      <c r="C12" s="1">
        <v>1574</v>
      </c>
      <c r="D12" s="1">
        <v>64</v>
      </c>
      <c r="E12" s="1">
        <v>1574</v>
      </c>
      <c r="F12" s="1">
        <v>0</v>
      </c>
      <c r="G12" s="1">
        <v>0</v>
      </c>
      <c r="H12" s="1">
        <v>64</v>
      </c>
    </row>
    <row r="13" spans="1:8">
      <c r="A13" s="1" t="s">
        <v>28</v>
      </c>
      <c r="B13" s="2">
        <v>2.617351293563843</v>
      </c>
      <c r="C13" s="1">
        <v>1554</v>
      </c>
      <c r="D13" s="1">
        <v>0</v>
      </c>
      <c r="E13" s="1">
        <v>1546</v>
      </c>
      <c r="F13" s="1">
        <v>8</v>
      </c>
      <c r="G13" s="1">
        <v>0</v>
      </c>
      <c r="H13" s="1">
        <v>0</v>
      </c>
    </row>
    <row r="14" spans="1:8">
      <c r="A14" s="1" t="s">
        <v>29</v>
      </c>
      <c r="B14" s="2">
        <v>2.088491439819336</v>
      </c>
      <c r="C14" s="1">
        <v>1240</v>
      </c>
      <c r="D14" s="1">
        <v>0</v>
      </c>
      <c r="E14" s="1">
        <v>1240</v>
      </c>
      <c r="F14" s="1">
        <v>0</v>
      </c>
      <c r="G14" s="1">
        <v>0</v>
      </c>
      <c r="H14" s="1">
        <v>0</v>
      </c>
    </row>
    <row r="15" spans="1:8">
      <c r="A15" s="1" t="s">
        <v>14</v>
      </c>
      <c r="B15" s="2">
        <v>1.977329730987549</v>
      </c>
      <c r="C15" s="1">
        <v>1174</v>
      </c>
      <c r="D15" s="1">
        <v>12</v>
      </c>
      <c r="E15" s="1">
        <v>1162</v>
      </c>
      <c r="F15" s="1">
        <v>0</v>
      </c>
      <c r="G15" s="1">
        <v>12</v>
      </c>
      <c r="H15" s="1">
        <v>0</v>
      </c>
    </row>
    <row r="16" spans="1:8">
      <c r="A16" s="1" t="s">
        <v>13</v>
      </c>
      <c r="B16" s="2">
        <v>1.856062531471252</v>
      </c>
      <c r="C16" s="1">
        <v>1102</v>
      </c>
      <c r="D16" s="1">
        <v>60</v>
      </c>
      <c r="E16" s="1">
        <v>1082</v>
      </c>
      <c r="F16" s="1">
        <v>0</v>
      </c>
      <c r="G16" s="1">
        <v>20</v>
      </c>
      <c r="H16" s="1">
        <v>40</v>
      </c>
    </row>
    <row r="17" spans="1:8">
      <c r="A17" s="1" t="s">
        <v>30</v>
      </c>
      <c r="B17" s="2">
        <v>1.775217652320862</v>
      </c>
      <c r="C17" s="1">
        <v>1054</v>
      </c>
      <c r="D17" s="1">
        <v>0</v>
      </c>
      <c r="E17" s="1">
        <v>1054</v>
      </c>
      <c r="F17" s="1">
        <v>0</v>
      </c>
      <c r="G17" s="1">
        <v>0</v>
      </c>
      <c r="H17" s="1">
        <v>0</v>
      </c>
    </row>
    <row r="18" spans="1:8">
      <c r="A18" s="1" t="s">
        <v>31</v>
      </c>
      <c r="B18" s="2">
        <v>1.49562931060791</v>
      </c>
      <c r="C18" s="1">
        <v>888</v>
      </c>
      <c r="D18" s="1">
        <v>0</v>
      </c>
      <c r="E18" s="1">
        <v>888</v>
      </c>
      <c r="F18" s="1">
        <v>0</v>
      </c>
      <c r="G18" s="1">
        <v>0</v>
      </c>
      <c r="H18" s="1">
        <v>0</v>
      </c>
    </row>
    <row r="19" spans="1:8">
      <c r="A19" s="1" t="s">
        <v>1</v>
      </c>
      <c r="B19" s="2">
        <v>1.482155203819275</v>
      </c>
      <c r="C19" s="1">
        <v>880</v>
      </c>
      <c r="D19" s="1">
        <v>49184</v>
      </c>
      <c r="E19" s="1">
        <v>848</v>
      </c>
      <c r="F19" s="1">
        <v>0</v>
      </c>
      <c r="G19" s="1">
        <v>32</v>
      </c>
      <c r="H19" s="1">
        <v>49152</v>
      </c>
    </row>
    <row r="20" spans="1:8">
      <c r="A20" s="1" t="s">
        <v>32</v>
      </c>
      <c r="B20" s="2">
        <v>1.35078239440918</v>
      </c>
      <c r="C20" s="1">
        <v>802</v>
      </c>
      <c r="D20" s="1">
        <v>0</v>
      </c>
      <c r="E20" s="1">
        <v>764</v>
      </c>
      <c r="F20" s="1">
        <v>38</v>
      </c>
      <c r="G20" s="1">
        <v>0</v>
      </c>
      <c r="H20" s="1">
        <v>0</v>
      </c>
    </row>
    <row r="21" spans="1:8">
      <c r="A21" s="1" t="s">
        <v>33</v>
      </c>
      <c r="B21" s="2">
        <v>1.101510763168335</v>
      </c>
      <c r="C21" s="1">
        <v>654</v>
      </c>
      <c r="D21" s="1">
        <v>0</v>
      </c>
      <c r="E21" s="1">
        <v>654</v>
      </c>
      <c r="F21" s="1">
        <v>0</v>
      </c>
      <c r="G21" s="1">
        <v>0</v>
      </c>
      <c r="H21" s="1">
        <v>0</v>
      </c>
    </row>
    <row r="22" spans="1:8">
      <c r="A22" s="1" t="s">
        <v>6</v>
      </c>
      <c r="B22" s="2">
        <v>0.9465581774711609</v>
      </c>
      <c r="C22" s="1">
        <v>562</v>
      </c>
      <c r="D22" s="1">
        <v>278</v>
      </c>
      <c r="E22" s="1">
        <v>552</v>
      </c>
      <c r="F22" s="1">
        <v>0</v>
      </c>
      <c r="G22" s="1">
        <v>10</v>
      </c>
      <c r="H22" s="1">
        <v>268</v>
      </c>
    </row>
    <row r="23" spans="1:8">
      <c r="A23" s="1" t="s">
        <v>34</v>
      </c>
      <c r="B23" s="2">
        <v>0.8892931342124939</v>
      </c>
      <c r="C23" s="1">
        <v>528</v>
      </c>
      <c r="D23" s="1">
        <v>0</v>
      </c>
      <c r="E23" s="1">
        <v>528</v>
      </c>
      <c r="F23" s="1">
        <v>0</v>
      </c>
      <c r="G23" s="1">
        <v>0</v>
      </c>
      <c r="H23" s="1">
        <v>0</v>
      </c>
    </row>
    <row r="24" spans="1:8">
      <c r="A24" s="1" t="s">
        <v>3</v>
      </c>
      <c r="B24" s="2">
        <v>0.8572920560836792</v>
      </c>
      <c r="C24" s="1">
        <v>509</v>
      </c>
      <c r="D24" s="1">
        <v>1033</v>
      </c>
      <c r="E24" s="1">
        <v>508</v>
      </c>
      <c r="F24" s="1">
        <v>0</v>
      </c>
      <c r="G24" s="1">
        <v>1</v>
      </c>
      <c r="H24" s="1">
        <v>1032</v>
      </c>
    </row>
    <row r="25" spans="1:8">
      <c r="A25" s="1" t="s">
        <v>4</v>
      </c>
      <c r="B25" s="2">
        <v>0.7882370948791504</v>
      </c>
      <c r="C25" s="1">
        <v>468</v>
      </c>
      <c r="D25" s="1">
        <v>1024</v>
      </c>
      <c r="E25" s="1">
        <v>76</v>
      </c>
      <c r="F25" s="1">
        <v>392</v>
      </c>
      <c r="G25" s="1">
        <v>0</v>
      </c>
      <c r="H25" s="1">
        <v>1024</v>
      </c>
    </row>
    <row r="26" spans="1:8">
      <c r="A26" s="1" t="s">
        <v>11</v>
      </c>
      <c r="B26" s="2">
        <v>0.7006551623344421</v>
      </c>
      <c r="C26" s="1">
        <v>416</v>
      </c>
      <c r="D26" s="1">
        <v>92</v>
      </c>
      <c r="E26" s="1">
        <v>416</v>
      </c>
      <c r="F26" s="1">
        <v>0</v>
      </c>
      <c r="G26" s="1">
        <v>0</v>
      </c>
      <c r="H26" s="1">
        <v>92</v>
      </c>
    </row>
    <row r="27" spans="1:8">
      <c r="A27" s="1" t="s">
        <v>35</v>
      </c>
      <c r="B27" s="2">
        <v>0.6888653039932251</v>
      </c>
      <c r="C27" s="1">
        <v>409</v>
      </c>
      <c r="D27" s="1">
        <v>0</v>
      </c>
      <c r="E27" s="1">
        <v>392</v>
      </c>
      <c r="F27" s="1">
        <v>17</v>
      </c>
      <c r="G27" s="1">
        <v>0</v>
      </c>
      <c r="H27" s="1">
        <v>0</v>
      </c>
    </row>
    <row r="28" spans="1:8">
      <c r="A28" s="1" t="s">
        <v>36</v>
      </c>
      <c r="B28" s="2">
        <v>0.6332845091819763</v>
      </c>
      <c r="C28" s="1">
        <v>376</v>
      </c>
      <c r="D28" s="1">
        <v>0</v>
      </c>
      <c r="E28" s="1">
        <v>228</v>
      </c>
      <c r="F28" s="1">
        <v>148</v>
      </c>
      <c r="G28" s="1">
        <v>0</v>
      </c>
      <c r="H28" s="1">
        <v>0</v>
      </c>
    </row>
    <row r="29" spans="1:8">
      <c r="A29" s="1" t="s">
        <v>37</v>
      </c>
      <c r="B29" s="2">
        <v>0.5793879628181458</v>
      </c>
      <c r="C29" s="1">
        <v>344</v>
      </c>
      <c r="D29" s="1">
        <v>0</v>
      </c>
      <c r="E29" s="1">
        <v>344</v>
      </c>
      <c r="F29" s="1">
        <v>0</v>
      </c>
      <c r="G29" s="1">
        <v>0</v>
      </c>
      <c r="H29" s="1">
        <v>0</v>
      </c>
    </row>
    <row r="30" spans="1:8">
      <c r="A30" s="1" t="s">
        <v>38</v>
      </c>
      <c r="B30" s="2">
        <v>0.5726508498191834</v>
      </c>
      <c r="C30" s="1">
        <v>340</v>
      </c>
      <c r="D30" s="1">
        <v>0</v>
      </c>
      <c r="E30" s="1">
        <v>340</v>
      </c>
      <c r="F30" s="1">
        <v>0</v>
      </c>
      <c r="G30" s="1">
        <v>0</v>
      </c>
      <c r="H30" s="1">
        <v>0</v>
      </c>
    </row>
    <row r="31" spans="1:8">
      <c r="A31" s="1" t="s">
        <v>39</v>
      </c>
      <c r="B31" s="2">
        <v>0.5322284698486328</v>
      </c>
      <c r="C31" s="1">
        <v>316</v>
      </c>
      <c r="D31" s="1">
        <v>0</v>
      </c>
      <c r="E31" s="1">
        <v>44</v>
      </c>
      <c r="F31" s="1">
        <v>272</v>
      </c>
      <c r="G31" s="1">
        <v>0</v>
      </c>
      <c r="H31" s="1">
        <v>0</v>
      </c>
    </row>
    <row r="32" spans="1:8">
      <c r="A32" s="1" t="s">
        <v>40</v>
      </c>
      <c r="B32" s="2">
        <v>0.4008556008338928</v>
      </c>
      <c r="C32" s="1">
        <v>238</v>
      </c>
      <c r="D32" s="1">
        <v>0</v>
      </c>
      <c r="E32" s="1">
        <v>238</v>
      </c>
      <c r="F32" s="1">
        <v>0</v>
      </c>
      <c r="G32" s="1">
        <v>0</v>
      </c>
      <c r="H32" s="1">
        <v>0</v>
      </c>
    </row>
    <row r="33" spans="1:8">
      <c r="A33" s="1" t="s">
        <v>41</v>
      </c>
      <c r="B33" s="2">
        <v>0.390749990940094</v>
      </c>
      <c r="C33" s="1">
        <v>232</v>
      </c>
      <c r="D33" s="1">
        <v>0</v>
      </c>
      <c r="E33" s="1">
        <v>232</v>
      </c>
      <c r="F33" s="1">
        <v>0</v>
      </c>
      <c r="G33" s="1">
        <v>0</v>
      </c>
      <c r="H33" s="1">
        <v>0</v>
      </c>
    </row>
    <row r="34" spans="1:8">
      <c r="A34" s="1" t="s">
        <v>2</v>
      </c>
      <c r="B34" s="2">
        <v>0.3772758543491364</v>
      </c>
      <c r="C34" s="1">
        <v>224</v>
      </c>
      <c r="D34" s="1">
        <v>34852</v>
      </c>
      <c r="E34" s="1">
        <v>152</v>
      </c>
      <c r="F34" s="1">
        <v>36</v>
      </c>
      <c r="G34" s="1">
        <v>36</v>
      </c>
      <c r="H34" s="1">
        <v>34816</v>
      </c>
    </row>
    <row r="35" spans="1:8">
      <c r="A35" s="1" t="s">
        <v>42</v>
      </c>
      <c r="B35" s="2">
        <v>0.3435905277729034</v>
      </c>
      <c r="C35" s="1">
        <v>204</v>
      </c>
      <c r="D35" s="1">
        <v>0</v>
      </c>
      <c r="E35" s="1">
        <v>204</v>
      </c>
      <c r="F35" s="1">
        <v>0</v>
      </c>
      <c r="G35" s="1">
        <v>0</v>
      </c>
      <c r="H35" s="1">
        <v>0</v>
      </c>
    </row>
    <row r="36" spans="1:8">
      <c r="A36" s="1" t="s">
        <v>9</v>
      </c>
      <c r="B36" s="2">
        <v>0.3368534445762634</v>
      </c>
      <c r="C36" s="1">
        <v>200</v>
      </c>
      <c r="D36" s="1">
        <v>96</v>
      </c>
      <c r="E36" s="1">
        <v>200</v>
      </c>
      <c r="F36" s="1">
        <v>0</v>
      </c>
      <c r="G36" s="1">
        <v>0</v>
      </c>
      <c r="H36" s="1">
        <v>96</v>
      </c>
    </row>
    <row r="37" spans="1:8">
      <c r="A37" s="1" t="s">
        <v>43</v>
      </c>
      <c r="B37" s="2">
        <v>0.3301163911819458</v>
      </c>
      <c r="C37" s="1">
        <v>196</v>
      </c>
      <c r="D37" s="1">
        <v>0</v>
      </c>
      <c r="E37" s="1">
        <v>188</v>
      </c>
      <c r="F37" s="1">
        <v>8</v>
      </c>
      <c r="G37" s="1">
        <v>0</v>
      </c>
      <c r="H37" s="1">
        <v>0</v>
      </c>
    </row>
    <row r="38" spans="1:8">
      <c r="A38" s="1" t="s">
        <v>44</v>
      </c>
      <c r="B38" s="2">
        <v>0.3166422545909882</v>
      </c>
      <c r="C38" s="1">
        <v>188</v>
      </c>
      <c r="D38" s="1">
        <v>0</v>
      </c>
      <c r="E38" s="1">
        <v>148</v>
      </c>
      <c r="F38" s="1">
        <v>40</v>
      </c>
      <c r="G38" s="1">
        <v>0</v>
      </c>
      <c r="H38" s="1">
        <v>0</v>
      </c>
    </row>
    <row r="39" spans="1:8">
      <c r="A39" s="1" t="s">
        <v>15</v>
      </c>
      <c r="B39" s="2">
        <v>0.3082209229469299</v>
      </c>
      <c r="C39" s="1">
        <v>183</v>
      </c>
      <c r="D39" s="1">
        <v>9</v>
      </c>
      <c r="E39" s="1">
        <v>174</v>
      </c>
      <c r="F39" s="1">
        <v>0</v>
      </c>
      <c r="G39" s="1">
        <v>9</v>
      </c>
      <c r="H39" s="1">
        <v>0</v>
      </c>
    </row>
    <row r="40" spans="1:8">
      <c r="A40" s="1" t="s">
        <v>45</v>
      </c>
      <c r="B40" s="2">
        <v>0.2997995615005493</v>
      </c>
      <c r="C40" s="1">
        <v>178</v>
      </c>
      <c r="D40" s="1">
        <v>0</v>
      </c>
      <c r="E40" s="1">
        <v>178</v>
      </c>
      <c r="F40" s="1">
        <v>0</v>
      </c>
      <c r="G40" s="1">
        <v>0</v>
      </c>
      <c r="H40" s="1">
        <v>0</v>
      </c>
    </row>
    <row r="41" spans="1:8">
      <c r="A41" s="1" t="s">
        <v>20</v>
      </c>
      <c r="B41" s="2">
        <v>0.2964310348033905</v>
      </c>
      <c r="C41" s="1">
        <v>176</v>
      </c>
      <c r="D41" s="1">
        <v>4</v>
      </c>
      <c r="E41" s="1">
        <v>172</v>
      </c>
      <c r="F41" s="1">
        <v>0</v>
      </c>
      <c r="G41" s="1">
        <v>4</v>
      </c>
      <c r="H41" s="1">
        <v>0</v>
      </c>
    </row>
    <row r="42" spans="1:8">
      <c r="A42" s="1" t="s">
        <v>46</v>
      </c>
      <c r="B42" s="2">
        <v>0.2627456784248352</v>
      </c>
      <c r="C42" s="1">
        <v>156</v>
      </c>
      <c r="D42" s="1">
        <v>0</v>
      </c>
      <c r="E42" s="1">
        <v>156</v>
      </c>
      <c r="F42" s="1">
        <v>0</v>
      </c>
      <c r="G42" s="1">
        <v>0</v>
      </c>
      <c r="H42" s="1">
        <v>0</v>
      </c>
    </row>
    <row r="43" spans="1:8">
      <c r="A43" s="1" t="s">
        <v>47</v>
      </c>
      <c r="B43" s="2">
        <v>0.2560086250305176</v>
      </c>
      <c r="C43" s="1">
        <v>152</v>
      </c>
      <c r="D43" s="1">
        <v>0</v>
      </c>
      <c r="E43" s="1">
        <v>152</v>
      </c>
      <c r="F43" s="1">
        <v>0</v>
      </c>
      <c r="G43" s="1">
        <v>0</v>
      </c>
      <c r="H43" s="1">
        <v>0</v>
      </c>
    </row>
    <row r="44" spans="1:8">
      <c r="A44" s="1" t="s">
        <v>48</v>
      </c>
      <c r="B44" s="2">
        <v>0.2492715567350388</v>
      </c>
      <c r="C44" s="1">
        <v>148</v>
      </c>
      <c r="D44" s="1">
        <v>0</v>
      </c>
      <c r="E44" s="1">
        <v>148</v>
      </c>
      <c r="F44" s="1">
        <v>0</v>
      </c>
      <c r="G44" s="1">
        <v>0</v>
      </c>
      <c r="H44" s="1">
        <v>0</v>
      </c>
    </row>
    <row r="45" spans="1:8">
      <c r="A45" s="1" t="s">
        <v>49</v>
      </c>
      <c r="B45" s="2">
        <v>0.2324288785457611</v>
      </c>
      <c r="C45" s="1">
        <v>138</v>
      </c>
      <c r="D45" s="1">
        <v>0</v>
      </c>
      <c r="E45" s="1">
        <v>138</v>
      </c>
      <c r="F45" s="1">
        <v>0</v>
      </c>
      <c r="G45" s="1">
        <v>0</v>
      </c>
      <c r="H45" s="1">
        <v>0</v>
      </c>
    </row>
    <row r="46" spans="1:8">
      <c r="A46" s="1" t="s">
        <v>50</v>
      </c>
      <c r="B46" s="2">
        <v>0.2324288785457611</v>
      </c>
      <c r="C46" s="1">
        <v>138</v>
      </c>
      <c r="D46" s="1">
        <v>0</v>
      </c>
      <c r="E46" s="1">
        <v>138</v>
      </c>
      <c r="F46" s="1">
        <v>0</v>
      </c>
      <c r="G46" s="1">
        <v>0</v>
      </c>
      <c r="H46" s="1">
        <v>0</v>
      </c>
    </row>
    <row r="47" spans="1:8">
      <c r="A47" s="1" t="s">
        <v>51</v>
      </c>
      <c r="B47" s="2">
        <v>0.2256918102502823</v>
      </c>
      <c r="C47" s="1">
        <v>134</v>
      </c>
      <c r="D47" s="1">
        <v>0</v>
      </c>
      <c r="E47" s="1">
        <v>134</v>
      </c>
      <c r="F47" s="1">
        <v>0</v>
      </c>
      <c r="G47" s="1">
        <v>0</v>
      </c>
      <c r="H47" s="1">
        <v>0</v>
      </c>
    </row>
    <row r="48" spans="1:8">
      <c r="A48" s="1" t="s">
        <v>52</v>
      </c>
      <c r="B48" s="2">
        <v>0.2155862152576447</v>
      </c>
      <c r="C48" s="1">
        <v>128</v>
      </c>
      <c r="D48" s="1">
        <v>0</v>
      </c>
      <c r="E48" s="1">
        <v>128</v>
      </c>
      <c r="F48" s="1">
        <v>0</v>
      </c>
      <c r="G48" s="1">
        <v>0</v>
      </c>
      <c r="H48" s="1">
        <v>0</v>
      </c>
    </row>
    <row r="49" spans="1:8">
      <c r="A49" s="1" t="s">
        <v>53</v>
      </c>
      <c r="B49" s="2">
        <v>0.2155862152576447</v>
      </c>
      <c r="C49" s="1">
        <v>128</v>
      </c>
      <c r="D49" s="1">
        <v>0</v>
      </c>
      <c r="E49" s="1">
        <v>128</v>
      </c>
      <c r="F49" s="1">
        <v>0</v>
      </c>
      <c r="G49" s="1">
        <v>0</v>
      </c>
      <c r="H49" s="1">
        <v>0</v>
      </c>
    </row>
    <row r="50" spans="1:8">
      <c r="A50" s="1" t="s">
        <v>54</v>
      </c>
      <c r="B50" s="2">
        <v>0.2088491469621658</v>
      </c>
      <c r="C50" s="1">
        <v>124</v>
      </c>
      <c r="D50" s="1">
        <v>0</v>
      </c>
      <c r="E50" s="1">
        <v>124</v>
      </c>
      <c r="F50" s="1">
        <v>0</v>
      </c>
      <c r="G50" s="1">
        <v>0</v>
      </c>
      <c r="H50" s="1">
        <v>0</v>
      </c>
    </row>
    <row r="51" spans="1:8">
      <c r="A51" s="1" t="s">
        <v>55</v>
      </c>
      <c r="B51" s="2">
        <v>0.2021120637655258</v>
      </c>
      <c r="C51" s="1">
        <v>120</v>
      </c>
      <c r="D51" s="1">
        <v>0</v>
      </c>
      <c r="E51" s="1">
        <v>120</v>
      </c>
      <c r="F51" s="1">
        <v>0</v>
      </c>
      <c r="G51" s="1">
        <v>0</v>
      </c>
      <c r="H51" s="1">
        <v>0</v>
      </c>
    </row>
    <row r="52" spans="1:8">
      <c r="A52" s="1" t="s">
        <v>16</v>
      </c>
      <c r="B52" s="2">
        <v>0.195374995470047</v>
      </c>
      <c r="C52" s="1">
        <v>116</v>
      </c>
      <c r="D52" s="1">
        <v>8</v>
      </c>
      <c r="E52" s="1">
        <v>108</v>
      </c>
      <c r="F52" s="1">
        <v>0</v>
      </c>
      <c r="G52" s="1">
        <v>8</v>
      </c>
      <c r="H52" s="1">
        <v>0</v>
      </c>
    </row>
    <row r="53" spans="1:8">
      <c r="A53" s="1" t="s">
        <v>56</v>
      </c>
      <c r="B53" s="2">
        <v>0.1886379271745682</v>
      </c>
      <c r="C53" s="1">
        <v>112</v>
      </c>
      <c r="D53" s="1">
        <v>0</v>
      </c>
      <c r="E53" s="1">
        <v>112</v>
      </c>
      <c r="F53" s="1">
        <v>0</v>
      </c>
      <c r="G53" s="1">
        <v>0</v>
      </c>
      <c r="H53" s="1">
        <v>0</v>
      </c>
    </row>
    <row r="54" spans="1:8">
      <c r="A54" s="1" t="s">
        <v>21</v>
      </c>
      <c r="B54" s="2">
        <v>0.1819008588790894</v>
      </c>
      <c r="C54" s="1">
        <v>108</v>
      </c>
      <c r="D54" s="1">
        <v>4</v>
      </c>
      <c r="E54" s="1">
        <v>104</v>
      </c>
      <c r="F54" s="1">
        <v>0</v>
      </c>
      <c r="G54" s="1">
        <v>4</v>
      </c>
      <c r="H54" s="1">
        <v>0</v>
      </c>
    </row>
    <row r="55" spans="1:8">
      <c r="A55" s="1" t="s">
        <v>18</v>
      </c>
      <c r="B55" s="2">
        <v>0.1751637905836105</v>
      </c>
      <c r="C55" s="1">
        <v>104</v>
      </c>
      <c r="D55" s="1">
        <v>4</v>
      </c>
      <c r="E55" s="1">
        <v>100</v>
      </c>
      <c r="F55" s="1">
        <v>0</v>
      </c>
      <c r="G55" s="1">
        <v>4</v>
      </c>
      <c r="H55" s="1">
        <v>0</v>
      </c>
    </row>
    <row r="56" spans="1:8">
      <c r="A56" s="1" t="s">
        <v>57</v>
      </c>
      <c r="B56" s="2">
        <v>0.1684267222881317</v>
      </c>
      <c r="C56" s="1">
        <v>100</v>
      </c>
      <c r="D56" s="1">
        <v>0</v>
      </c>
      <c r="E56" s="1">
        <v>100</v>
      </c>
      <c r="F56" s="1">
        <v>0</v>
      </c>
      <c r="G56" s="1">
        <v>0</v>
      </c>
      <c r="H56" s="1">
        <v>0</v>
      </c>
    </row>
    <row r="57" spans="1:8">
      <c r="A57" s="1" t="s">
        <v>19</v>
      </c>
      <c r="B57" s="2">
        <v>0.1549525856971741</v>
      </c>
      <c r="C57" s="1">
        <v>92</v>
      </c>
      <c r="D57" s="1">
        <v>4</v>
      </c>
      <c r="E57" s="1">
        <v>88</v>
      </c>
      <c r="F57" s="1">
        <v>0</v>
      </c>
      <c r="G57" s="1">
        <v>4</v>
      </c>
      <c r="H57" s="1">
        <v>0</v>
      </c>
    </row>
    <row r="58" spans="1:8">
      <c r="A58" s="1" t="s">
        <v>58</v>
      </c>
      <c r="B58" s="2">
        <v>0.1515840590000153</v>
      </c>
      <c r="C58" s="1">
        <v>90</v>
      </c>
      <c r="D58" s="1">
        <v>0</v>
      </c>
      <c r="E58" s="1">
        <v>90</v>
      </c>
      <c r="F58" s="1">
        <v>0</v>
      </c>
      <c r="G58" s="1">
        <v>0</v>
      </c>
      <c r="H58" s="1">
        <v>0</v>
      </c>
    </row>
    <row r="59" spans="1:8">
      <c r="A59" s="1" t="s">
        <v>59</v>
      </c>
      <c r="B59" s="2">
        <v>0.1482155174016953</v>
      </c>
      <c r="C59" s="1">
        <v>88</v>
      </c>
      <c r="D59" s="1">
        <v>0</v>
      </c>
      <c r="E59" s="1">
        <v>88</v>
      </c>
      <c r="F59" s="1">
        <v>0</v>
      </c>
      <c r="G59" s="1">
        <v>0</v>
      </c>
      <c r="H59" s="1">
        <v>0</v>
      </c>
    </row>
    <row r="60" spans="1:8">
      <c r="A60" s="1" t="s">
        <v>60</v>
      </c>
      <c r="B60" s="2">
        <v>0.1482155174016953</v>
      </c>
      <c r="C60" s="1">
        <v>88</v>
      </c>
      <c r="D60" s="1">
        <v>0</v>
      </c>
      <c r="E60" s="1">
        <v>88</v>
      </c>
      <c r="F60" s="1">
        <v>0</v>
      </c>
      <c r="G60" s="1">
        <v>0</v>
      </c>
      <c r="H60" s="1">
        <v>0</v>
      </c>
    </row>
    <row r="61" spans="1:8">
      <c r="A61" s="1" t="s">
        <v>61</v>
      </c>
      <c r="B61" s="2">
        <v>0.1381099224090576</v>
      </c>
      <c r="C61" s="1">
        <v>82</v>
      </c>
      <c r="D61" s="1">
        <v>0</v>
      </c>
      <c r="E61" s="1">
        <v>82</v>
      </c>
      <c r="F61" s="1">
        <v>0</v>
      </c>
      <c r="G61" s="1">
        <v>0</v>
      </c>
      <c r="H61" s="1">
        <v>0</v>
      </c>
    </row>
    <row r="62" spans="1:8">
      <c r="A62" s="1" t="s">
        <v>62</v>
      </c>
      <c r="B62" s="2">
        <v>0.1313728392124176</v>
      </c>
      <c r="C62" s="1">
        <v>78</v>
      </c>
      <c r="D62" s="1">
        <v>0</v>
      </c>
      <c r="E62" s="1">
        <v>78</v>
      </c>
      <c r="F62" s="1">
        <v>0</v>
      </c>
      <c r="G62" s="1">
        <v>0</v>
      </c>
      <c r="H62" s="1">
        <v>0</v>
      </c>
    </row>
    <row r="63" spans="1:8">
      <c r="A63" s="1" t="s">
        <v>63</v>
      </c>
      <c r="B63" s="2">
        <v>0.1313728392124176</v>
      </c>
      <c r="C63" s="1">
        <v>78</v>
      </c>
      <c r="D63" s="1">
        <v>0</v>
      </c>
      <c r="E63" s="1">
        <v>78</v>
      </c>
      <c r="F63" s="1">
        <v>0</v>
      </c>
      <c r="G63" s="1">
        <v>0</v>
      </c>
      <c r="H63" s="1">
        <v>0</v>
      </c>
    </row>
    <row r="64" spans="1:8">
      <c r="A64" s="1" t="s">
        <v>64</v>
      </c>
      <c r="B64" s="2">
        <v>0.1246357783675194</v>
      </c>
      <c r="C64" s="1">
        <v>74</v>
      </c>
      <c r="D64" s="1">
        <v>0</v>
      </c>
      <c r="E64" s="1">
        <v>74</v>
      </c>
      <c r="F64" s="1">
        <v>0</v>
      </c>
      <c r="G64" s="1">
        <v>0</v>
      </c>
      <c r="H64" s="1">
        <v>0</v>
      </c>
    </row>
    <row r="65" spans="1:8">
      <c r="A65" s="1" t="s">
        <v>65</v>
      </c>
      <c r="B65" s="2">
        <v>0.12126724421978</v>
      </c>
      <c r="C65" s="1">
        <v>72</v>
      </c>
      <c r="D65" s="1">
        <v>0</v>
      </c>
      <c r="E65" s="1">
        <v>44</v>
      </c>
      <c r="F65" s="1">
        <v>28</v>
      </c>
      <c r="G65" s="1">
        <v>0</v>
      </c>
      <c r="H65" s="1">
        <v>0</v>
      </c>
    </row>
    <row r="66" spans="1:8">
      <c r="A66" s="1" t="s">
        <v>66</v>
      </c>
      <c r="B66" s="2">
        <v>0.1145301759243012</v>
      </c>
      <c r="C66" s="1">
        <v>68</v>
      </c>
      <c r="D66" s="1">
        <v>0</v>
      </c>
      <c r="E66" s="1">
        <v>68</v>
      </c>
      <c r="F66" s="1">
        <v>0</v>
      </c>
      <c r="G66" s="1">
        <v>0</v>
      </c>
      <c r="H66" s="1">
        <v>0</v>
      </c>
    </row>
    <row r="67" spans="1:8">
      <c r="A67" s="1" t="s">
        <v>67</v>
      </c>
      <c r="B67" s="2">
        <v>0.1077931076288223</v>
      </c>
      <c r="C67" s="1">
        <v>64</v>
      </c>
      <c r="D67" s="1">
        <v>0</v>
      </c>
      <c r="E67" s="1">
        <v>64</v>
      </c>
      <c r="F67" s="1">
        <v>0</v>
      </c>
      <c r="G67" s="1">
        <v>0</v>
      </c>
      <c r="H67" s="1">
        <v>0</v>
      </c>
    </row>
    <row r="68" spans="1:8">
      <c r="A68" s="1" t="s">
        <v>68</v>
      </c>
      <c r="B68" s="2">
        <v>0.08758189529180527</v>
      </c>
      <c r="C68" s="1">
        <v>52</v>
      </c>
      <c r="D68" s="1">
        <v>0</v>
      </c>
      <c r="E68" s="1">
        <v>52</v>
      </c>
      <c r="F68" s="1">
        <v>0</v>
      </c>
      <c r="G68" s="1">
        <v>0</v>
      </c>
      <c r="H68" s="1">
        <v>0</v>
      </c>
    </row>
    <row r="69" spans="1:8">
      <c r="A69" s="1" t="s">
        <v>69</v>
      </c>
      <c r="B69" s="2">
        <v>0.08758189529180527</v>
      </c>
      <c r="C69" s="1">
        <v>52</v>
      </c>
      <c r="D69" s="1">
        <v>0</v>
      </c>
      <c r="E69" s="1">
        <v>52</v>
      </c>
      <c r="F69" s="1">
        <v>0</v>
      </c>
      <c r="G69" s="1">
        <v>0</v>
      </c>
      <c r="H69" s="1">
        <v>0</v>
      </c>
    </row>
    <row r="70" spans="1:8">
      <c r="A70" s="1" t="s">
        <v>70</v>
      </c>
      <c r="B70" s="2">
        <v>0.08084482699632645</v>
      </c>
      <c r="C70" s="1">
        <v>48</v>
      </c>
      <c r="D70" s="1">
        <v>0</v>
      </c>
      <c r="E70" s="1">
        <v>48</v>
      </c>
      <c r="F70" s="1">
        <v>0</v>
      </c>
      <c r="G70" s="1">
        <v>0</v>
      </c>
      <c r="H70" s="1">
        <v>0</v>
      </c>
    </row>
    <row r="71" spans="1:8">
      <c r="A71" s="1" t="s">
        <v>71</v>
      </c>
      <c r="B71" s="2">
        <v>0.08084482699632645</v>
      </c>
      <c r="C71" s="1">
        <v>48</v>
      </c>
      <c r="D71" s="1">
        <v>0</v>
      </c>
      <c r="E71" s="1">
        <v>48</v>
      </c>
      <c r="F71" s="1">
        <v>0</v>
      </c>
      <c r="G71" s="1">
        <v>0</v>
      </c>
      <c r="H71" s="1">
        <v>0</v>
      </c>
    </row>
    <row r="72" spans="1:8">
      <c r="A72" s="1" t="s">
        <v>72</v>
      </c>
      <c r="B72" s="2">
        <v>0.08084482699632645</v>
      </c>
      <c r="C72" s="1">
        <v>48</v>
      </c>
      <c r="D72" s="1">
        <v>0</v>
      </c>
      <c r="E72" s="1">
        <v>48</v>
      </c>
      <c r="F72" s="1">
        <v>0</v>
      </c>
      <c r="G72" s="1">
        <v>0</v>
      </c>
      <c r="H72" s="1">
        <v>0</v>
      </c>
    </row>
    <row r="73" spans="1:8">
      <c r="A73" s="1" t="s">
        <v>17</v>
      </c>
      <c r="B73" s="2">
        <v>0.08084482699632645</v>
      </c>
      <c r="C73" s="1">
        <v>48</v>
      </c>
      <c r="D73" s="1">
        <v>4</v>
      </c>
      <c r="E73" s="1">
        <v>20</v>
      </c>
      <c r="F73" s="1">
        <v>24</v>
      </c>
      <c r="G73" s="1">
        <v>4</v>
      </c>
      <c r="H73" s="1">
        <v>0</v>
      </c>
    </row>
    <row r="74" spans="1:8">
      <c r="A74" s="1" t="s">
        <v>73</v>
      </c>
      <c r="B74" s="2">
        <v>0.07410775870084763</v>
      </c>
      <c r="C74" s="1">
        <v>44</v>
      </c>
      <c r="D74" s="1">
        <v>0</v>
      </c>
      <c r="E74" s="1">
        <v>44</v>
      </c>
      <c r="F74" s="1">
        <v>0</v>
      </c>
      <c r="G74" s="1">
        <v>0</v>
      </c>
      <c r="H74" s="1">
        <v>0</v>
      </c>
    </row>
    <row r="75" spans="1:8">
      <c r="A75" s="1" t="s">
        <v>74</v>
      </c>
      <c r="B75" s="2">
        <v>0.07410775870084763</v>
      </c>
      <c r="C75" s="1">
        <v>44</v>
      </c>
      <c r="D75" s="1">
        <v>0</v>
      </c>
      <c r="E75" s="1">
        <v>44</v>
      </c>
      <c r="F75" s="1">
        <v>0</v>
      </c>
      <c r="G75" s="1">
        <v>0</v>
      </c>
      <c r="H75" s="1">
        <v>0</v>
      </c>
    </row>
    <row r="76" spans="1:8">
      <c r="A76" s="1" t="s">
        <v>75</v>
      </c>
      <c r="B76" s="2">
        <v>0.06737069040536881</v>
      </c>
      <c r="C76" s="1">
        <v>40</v>
      </c>
      <c r="D76" s="1">
        <v>0</v>
      </c>
      <c r="E76" s="1">
        <v>40</v>
      </c>
      <c r="F76" s="1">
        <v>0</v>
      </c>
      <c r="G76" s="1">
        <v>0</v>
      </c>
      <c r="H76" s="1">
        <v>0</v>
      </c>
    </row>
    <row r="77" spans="1:8">
      <c r="A77" s="1" t="s">
        <v>76</v>
      </c>
      <c r="B77" s="2">
        <v>0.0640021562576294</v>
      </c>
      <c r="C77" s="1">
        <v>38</v>
      </c>
      <c r="D77" s="1">
        <v>0</v>
      </c>
      <c r="E77" s="1">
        <v>38</v>
      </c>
      <c r="F77" s="1">
        <v>0</v>
      </c>
      <c r="G77" s="1">
        <v>0</v>
      </c>
      <c r="H77" s="1">
        <v>0</v>
      </c>
    </row>
    <row r="78" spans="1:8">
      <c r="A78" s="1" t="s">
        <v>77</v>
      </c>
      <c r="B78" s="2">
        <v>0.06063362210988998</v>
      </c>
      <c r="C78" s="1">
        <v>36</v>
      </c>
      <c r="D78" s="1">
        <v>0</v>
      </c>
      <c r="E78" s="1">
        <v>36</v>
      </c>
      <c r="F78" s="1">
        <v>0</v>
      </c>
      <c r="G78" s="1">
        <v>0</v>
      </c>
      <c r="H78" s="1">
        <v>0</v>
      </c>
    </row>
    <row r="79" spans="1:8">
      <c r="A79" s="1" t="s">
        <v>78</v>
      </c>
      <c r="B79" s="2">
        <v>0.06063362210988998</v>
      </c>
      <c r="C79" s="1">
        <v>36</v>
      </c>
      <c r="D79" s="1">
        <v>0</v>
      </c>
      <c r="E79" s="1">
        <v>36</v>
      </c>
      <c r="F79" s="1">
        <v>0</v>
      </c>
      <c r="G79" s="1">
        <v>0</v>
      </c>
      <c r="H79" s="1">
        <v>0</v>
      </c>
    </row>
    <row r="80" spans="1:8">
      <c r="A80" s="1" t="s">
        <v>79</v>
      </c>
      <c r="B80" s="2">
        <v>0.05726508796215057</v>
      </c>
      <c r="C80" s="1">
        <v>34</v>
      </c>
      <c r="D80" s="1">
        <v>0</v>
      </c>
      <c r="E80" s="1">
        <v>34</v>
      </c>
      <c r="F80" s="1">
        <v>0</v>
      </c>
      <c r="G80" s="1">
        <v>0</v>
      </c>
      <c r="H80" s="1">
        <v>0</v>
      </c>
    </row>
    <row r="81" spans="1:8">
      <c r="A81" s="1" t="s">
        <v>80</v>
      </c>
      <c r="B81" s="2">
        <v>0.04715948179364204</v>
      </c>
      <c r="C81" s="1">
        <v>28</v>
      </c>
      <c r="D81" s="1">
        <v>0</v>
      </c>
      <c r="E81" s="1">
        <v>28</v>
      </c>
      <c r="F81" s="1">
        <v>0</v>
      </c>
      <c r="G81" s="1">
        <v>0</v>
      </c>
      <c r="H81" s="1">
        <v>0</v>
      </c>
    </row>
    <row r="82" spans="1:8">
      <c r="A82" s="1" t="s">
        <v>81</v>
      </c>
      <c r="B82" s="2">
        <v>0.04379094764590263</v>
      </c>
      <c r="C82" s="1">
        <v>26</v>
      </c>
      <c r="D82" s="1">
        <v>0</v>
      </c>
      <c r="E82" s="1">
        <v>26</v>
      </c>
      <c r="F82" s="1">
        <v>0</v>
      </c>
      <c r="G82" s="1">
        <v>0</v>
      </c>
      <c r="H82" s="1">
        <v>0</v>
      </c>
    </row>
    <row r="83" spans="1:8">
      <c r="A83" s="1" t="s">
        <v>82</v>
      </c>
      <c r="B83" s="2">
        <v>0.04042241349816322</v>
      </c>
      <c r="C83" s="1">
        <v>24</v>
      </c>
      <c r="D83" s="1">
        <v>0</v>
      </c>
      <c r="E83" s="1">
        <v>24</v>
      </c>
      <c r="F83" s="1">
        <v>0</v>
      </c>
      <c r="G83" s="1">
        <v>0</v>
      </c>
      <c r="H83" s="1">
        <v>0</v>
      </c>
    </row>
    <row r="84" spans="1:8">
      <c r="A84" s="1" t="s">
        <v>83</v>
      </c>
      <c r="B84" s="2">
        <v>0.0336853452026844</v>
      </c>
      <c r="C84" s="1">
        <v>20</v>
      </c>
      <c r="D84" s="1">
        <v>0</v>
      </c>
      <c r="E84" s="1">
        <v>20</v>
      </c>
      <c r="F84" s="1">
        <v>0</v>
      </c>
      <c r="G84" s="1">
        <v>0</v>
      </c>
      <c r="H84" s="1">
        <v>0</v>
      </c>
    </row>
    <row r="85" spans="1:8">
      <c r="A85" s="1" t="s">
        <v>84</v>
      </c>
      <c r="B85" s="2">
        <v>0.03031681105494499</v>
      </c>
      <c r="C85" s="1">
        <v>18</v>
      </c>
      <c r="D85" s="1">
        <v>0</v>
      </c>
      <c r="E85" s="1">
        <v>18</v>
      </c>
      <c r="F85" s="1">
        <v>0</v>
      </c>
      <c r="G85" s="1">
        <v>0</v>
      </c>
      <c r="H85" s="1">
        <v>0</v>
      </c>
    </row>
    <row r="86" spans="1:8">
      <c r="A86" s="1" t="s">
        <v>85</v>
      </c>
      <c r="B86" s="2">
        <v>0.02694827690720558</v>
      </c>
      <c r="C86" s="1">
        <v>16</v>
      </c>
      <c r="D86" s="1">
        <v>0</v>
      </c>
      <c r="E86" s="1">
        <v>16</v>
      </c>
      <c r="F86" s="1">
        <v>0</v>
      </c>
      <c r="G86" s="1">
        <v>0</v>
      </c>
      <c r="H86" s="1">
        <v>0</v>
      </c>
    </row>
    <row r="87" spans="1:8">
      <c r="A87" s="1" t="s">
        <v>86</v>
      </c>
      <c r="B87" s="2">
        <v>0.02694827690720558</v>
      </c>
      <c r="C87" s="1">
        <v>16</v>
      </c>
      <c r="D87" s="1">
        <v>0</v>
      </c>
      <c r="E87" s="1">
        <v>16</v>
      </c>
      <c r="F87" s="1">
        <v>0</v>
      </c>
      <c r="G87" s="1">
        <v>0</v>
      </c>
      <c r="H87" s="1">
        <v>0</v>
      </c>
    </row>
    <row r="88" spans="1:8">
      <c r="A88" s="1" t="s">
        <v>87</v>
      </c>
      <c r="B88" s="2">
        <v>0.02694827690720558</v>
      </c>
      <c r="C88" s="1">
        <v>16</v>
      </c>
      <c r="D88" s="1">
        <v>0</v>
      </c>
      <c r="E88" s="1">
        <v>16</v>
      </c>
      <c r="F88" s="1">
        <v>0</v>
      </c>
      <c r="G88" s="1">
        <v>0</v>
      </c>
      <c r="H88" s="1">
        <v>0</v>
      </c>
    </row>
    <row r="89" spans="1:8">
      <c r="A89" s="1" t="s">
        <v>88</v>
      </c>
      <c r="B89" s="2">
        <v>0.02357974089682102</v>
      </c>
      <c r="C89" s="1">
        <v>14</v>
      </c>
      <c r="D89" s="1">
        <v>0</v>
      </c>
      <c r="E89" s="1">
        <v>14</v>
      </c>
      <c r="F89" s="1">
        <v>0</v>
      </c>
      <c r="G89" s="1">
        <v>0</v>
      </c>
      <c r="H89" s="1">
        <v>0</v>
      </c>
    </row>
    <row r="90" spans="1:8">
      <c r="A90" s="1" t="s">
        <v>89</v>
      </c>
      <c r="B90" s="2">
        <v>0.02021120674908161</v>
      </c>
      <c r="C90" s="1">
        <v>12</v>
      </c>
      <c r="D90" s="1">
        <v>0</v>
      </c>
      <c r="E90" s="1">
        <v>12</v>
      </c>
      <c r="F90" s="1">
        <v>0</v>
      </c>
      <c r="G90" s="1">
        <v>0</v>
      </c>
      <c r="H90" s="1">
        <v>0</v>
      </c>
    </row>
    <row r="91" spans="1:8">
      <c r="A91" s="1" t="s">
        <v>90</v>
      </c>
      <c r="B91" s="2">
        <v>0.02021120674908161</v>
      </c>
      <c r="C91" s="1">
        <v>12</v>
      </c>
      <c r="D91" s="1">
        <v>0</v>
      </c>
      <c r="E91" s="1">
        <v>12</v>
      </c>
      <c r="F91" s="1">
        <v>0</v>
      </c>
      <c r="G91" s="1">
        <v>0</v>
      </c>
      <c r="H91" s="1">
        <v>0</v>
      </c>
    </row>
    <row r="92" spans="1:8">
      <c r="A92" s="1" t="s">
        <v>91</v>
      </c>
      <c r="B92" s="2">
        <v>0.0168426726013422</v>
      </c>
      <c r="C92" s="1">
        <v>10</v>
      </c>
      <c r="D92" s="1">
        <v>0</v>
      </c>
      <c r="E92" s="1">
        <v>10</v>
      </c>
      <c r="F92" s="1">
        <v>0</v>
      </c>
      <c r="G92" s="1">
        <v>0</v>
      </c>
      <c r="H92" s="1">
        <v>0</v>
      </c>
    </row>
    <row r="93" spans="1:8">
      <c r="A93" s="1" t="s">
        <v>92</v>
      </c>
      <c r="B93" s="2">
        <v>0.0168426726013422</v>
      </c>
      <c r="C93" s="1">
        <v>10</v>
      </c>
      <c r="D93" s="1">
        <v>0</v>
      </c>
      <c r="E93" s="1">
        <v>10</v>
      </c>
      <c r="F93" s="1">
        <v>0</v>
      </c>
      <c r="G93" s="1">
        <v>0</v>
      </c>
      <c r="H93" s="1">
        <v>0</v>
      </c>
    </row>
    <row r="94" spans="1:8">
      <c r="A94" s="1" t="s">
        <v>93</v>
      </c>
      <c r="B94" s="2">
        <v>0.0168426726013422</v>
      </c>
      <c r="C94" s="1">
        <v>10</v>
      </c>
      <c r="D94" s="1">
        <v>0</v>
      </c>
      <c r="E94" s="1">
        <v>10</v>
      </c>
      <c r="F94" s="1">
        <v>0</v>
      </c>
      <c r="G94" s="1">
        <v>0</v>
      </c>
      <c r="H94" s="1">
        <v>0</v>
      </c>
    </row>
    <row r="95" spans="1:8">
      <c r="A95" s="1" t="s">
        <v>94</v>
      </c>
      <c r="B95" s="2">
        <v>0.0168426726013422</v>
      </c>
      <c r="C95" s="1">
        <v>10</v>
      </c>
      <c r="D95" s="1">
        <v>0</v>
      </c>
      <c r="E95" s="1">
        <v>10</v>
      </c>
      <c r="F95" s="1">
        <v>0</v>
      </c>
      <c r="G95" s="1">
        <v>0</v>
      </c>
      <c r="H95" s="1">
        <v>0</v>
      </c>
    </row>
    <row r="96" spans="1:8">
      <c r="A96" s="1" t="s">
        <v>95</v>
      </c>
      <c r="B96" s="2">
        <v>0.0168426726013422</v>
      </c>
      <c r="C96" s="1">
        <v>10</v>
      </c>
      <c r="D96" s="1">
        <v>0</v>
      </c>
      <c r="E96" s="1">
        <v>10</v>
      </c>
      <c r="F96" s="1">
        <v>0</v>
      </c>
      <c r="G96" s="1">
        <v>0</v>
      </c>
      <c r="H96" s="1">
        <v>0</v>
      </c>
    </row>
    <row r="97" spans="1:8">
      <c r="A97" s="1" t="s">
        <v>96</v>
      </c>
      <c r="B97" s="2">
        <v>0.01347413845360279</v>
      </c>
      <c r="C97" s="1">
        <v>8</v>
      </c>
      <c r="D97" s="1">
        <v>0</v>
      </c>
      <c r="E97" s="1">
        <v>8</v>
      </c>
      <c r="F97" s="1">
        <v>0</v>
      </c>
      <c r="G97" s="1">
        <v>0</v>
      </c>
      <c r="H97" s="1">
        <v>0</v>
      </c>
    </row>
    <row r="98" spans="1:8">
      <c r="A98" s="1" t="s">
        <v>8</v>
      </c>
      <c r="B98" s="2">
        <v>0.01347413845360279</v>
      </c>
      <c r="C98" s="1">
        <v>8</v>
      </c>
      <c r="D98" s="1">
        <v>96</v>
      </c>
      <c r="E98" s="1">
        <v>8</v>
      </c>
      <c r="F98" s="1">
        <v>0</v>
      </c>
      <c r="G98" s="1">
        <v>0</v>
      </c>
      <c r="H98" s="1">
        <v>96</v>
      </c>
    </row>
    <row r="99" spans="1:8">
      <c r="A99" s="1" t="s">
        <v>97</v>
      </c>
      <c r="B99" s="2">
        <v>0.01347413845360279</v>
      </c>
      <c r="C99" s="1">
        <v>8</v>
      </c>
      <c r="D99" s="1">
        <v>0</v>
      </c>
      <c r="E99" s="1">
        <v>8</v>
      </c>
      <c r="F99" s="1">
        <v>0</v>
      </c>
      <c r="G99" s="1">
        <v>0</v>
      </c>
      <c r="H99" s="1">
        <v>0</v>
      </c>
    </row>
    <row r="100" spans="1:8">
      <c r="A100" s="1" t="s">
        <v>98</v>
      </c>
      <c r="B100" s="2">
        <v>0.01347413845360279</v>
      </c>
      <c r="C100" s="1">
        <v>8</v>
      </c>
      <c r="D100" s="1">
        <v>0</v>
      </c>
      <c r="E100" s="1">
        <v>8</v>
      </c>
      <c r="F100" s="1">
        <v>0</v>
      </c>
      <c r="G100" s="1">
        <v>0</v>
      </c>
      <c r="H100" s="1">
        <v>0</v>
      </c>
    </row>
    <row r="101" spans="1:8">
      <c r="A101" s="1" t="s">
        <v>99</v>
      </c>
      <c r="B101" s="2">
        <v>0.01010560337454081</v>
      </c>
      <c r="C101" s="1">
        <v>6</v>
      </c>
      <c r="D101" s="1">
        <v>0</v>
      </c>
      <c r="E101" s="1">
        <v>6</v>
      </c>
      <c r="F101" s="1">
        <v>0</v>
      </c>
      <c r="G101" s="1">
        <v>0</v>
      </c>
      <c r="H101" s="1">
        <v>0</v>
      </c>
    </row>
    <row r="102" spans="1:8">
      <c r="A102" s="1" t="s">
        <v>100</v>
      </c>
      <c r="B102" s="2">
        <v>0.01010560337454081</v>
      </c>
      <c r="C102" s="1">
        <v>6</v>
      </c>
      <c r="D102" s="1">
        <v>0</v>
      </c>
      <c r="E102" s="1">
        <v>6</v>
      </c>
      <c r="F102" s="1">
        <v>0</v>
      </c>
      <c r="G102" s="1">
        <v>0</v>
      </c>
      <c r="H102" s="1">
        <v>0</v>
      </c>
    </row>
    <row r="103" spans="1:8">
      <c r="A103" s="1" t="s">
        <v>101</v>
      </c>
      <c r="B103" s="2">
        <v>0.01010560337454081</v>
      </c>
      <c r="C103" s="1">
        <v>6</v>
      </c>
      <c r="D103" s="1">
        <v>0</v>
      </c>
      <c r="E103" s="1">
        <v>6</v>
      </c>
      <c r="F103" s="1">
        <v>0</v>
      </c>
      <c r="G103" s="1">
        <v>0</v>
      </c>
      <c r="H103" s="1">
        <v>0</v>
      </c>
    </row>
    <row r="104" spans="1:8">
      <c r="A104" s="1" t="s">
        <v>102</v>
      </c>
      <c r="B104" s="2">
        <v>0.01010560337454081</v>
      </c>
      <c r="C104" s="1">
        <v>6</v>
      </c>
      <c r="D104" s="1">
        <v>0</v>
      </c>
      <c r="E104" s="1">
        <v>6</v>
      </c>
      <c r="F104" s="1">
        <v>0</v>
      </c>
      <c r="G104" s="1">
        <v>0</v>
      </c>
      <c r="H104" s="1">
        <v>0</v>
      </c>
    </row>
    <row r="105" spans="1:8">
      <c r="A105" s="1" t="s">
        <v>103</v>
      </c>
      <c r="B105" s="2">
        <v>0.01010560337454081</v>
      </c>
      <c r="C105" s="1">
        <v>6</v>
      </c>
      <c r="D105" s="1">
        <v>0</v>
      </c>
      <c r="E105" s="1">
        <v>6</v>
      </c>
      <c r="F105" s="1">
        <v>0</v>
      </c>
      <c r="G105" s="1">
        <v>0</v>
      </c>
      <c r="H105" s="1">
        <v>0</v>
      </c>
    </row>
    <row r="106" spans="1:8">
      <c r="A106" s="1" t="s">
        <v>104</v>
      </c>
      <c r="B106" s="2">
        <v>0.01010560337454081</v>
      </c>
      <c r="C106" s="1">
        <v>6</v>
      </c>
      <c r="D106" s="1">
        <v>0</v>
      </c>
      <c r="E106" s="1">
        <v>6</v>
      </c>
      <c r="F106" s="1">
        <v>0</v>
      </c>
      <c r="G106" s="1">
        <v>0</v>
      </c>
      <c r="H106" s="1">
        <v>0</v>
      </c>
    </row>
    <row r="107" spans="1:8">
      <c r="A107" s="1" t="s">
        <v>105</v>
      </c>
      <c r="B107" s="2">
        <v>0.01010560337454081</v>
      </c>
      <c r="C107" s="1">
        <v>6</v>
      </c>
      <c r="D107" s="1">
        <v>0</v>
      </c>
      <c r="E107" s="1">
        <v>6</v>
      </c>
      <c r="F107" s="1">
        <v>0</v>
      </c>
      <c r="G107" s="1">
        <v>0</v>
      </c>
      <c r="H107" s="1">
        <v>0</v>
      </c>
    </row>
    <row r="108" spans="1:8">
      <c r="A108" s="1" t="s">
        <v>106</v>
      </c>
      <c r="B108" s="2">
        <v>0.01010560337454081</v>
      </c>
      <c r="C108" s="1">
        <v>6</v>
      </c>
      <c r="D108" s="1">
        <v>0</v>
      </c>
      <c r="E108" s="1">
        <v>6</v>
      </c>
      <c r="F108" s="1">
        <v>0</v>
      </c>
      <c r="G108" s="1">
        <v>0</v>
      </c>
      <c r="H108" s="1">
        <v>0</v>
      </c>
    </row>
    <row r="109" spans="1:8">
      <c r="A109" s="1" t="s">
        <v>107</v>
      </c>
      <c r="B109" s="2">
        <v>0.01010560337454081</v>
      </c>
      <c r="C109" s="1">
        <v>6</v>
      </c>
      <c r="D109" s="1">
        <v>0</v>
      </c>
      <c r="E109" s="1">
        <v>6</v>
      </c>
      <c r="F109" s="1">
        <v>0</v>
      </c>
      <c r="G109" s="1">
        <v>0</v>
      </c>
      <c r="H109" s="1">
        <v>0</v>
      </c>
    </row>
    <row r="110" spans="1:8">
      <c r="A110" s="1" t="s">
        <v>108</v>
      </c>
      <c r="B110" s="2">
        <v>0.01010560337454081</v>
      </c>
      <c r="C110" s="1">
        <v>6</v>
      </c>
      <c r="D110" s="1">
        <v>0</v>
      </c>
      <c r="E110" s="1">
        <v>6</v>
      </c>
      <c r="F110" s="1">
        <v>0</v>
      </c>
      <c r="G110" s="1">
        <v>0</v>
      </c>
      <c r="H110" s="1">
        <v>0</v>
      </c>
    </row>
    <row r="111" spans="1:8">
      <c r="A111" s="1" t="s">
        <v>109</v>
      </c>
      <c r="B111" s="2">
        <v>0.01010560337454081</v>
      </c>
      <c r="C111" s="1">
        <v>6</v>
      </c>
      <c r="D111" s="1">
        <v>0</v>
      </c>
      <c r="E111" s="1">
        <v>6</v>
      </c>
      <c r="F111" s="1">
        <v>0</v>
      </c>
      <c r="G111" s="1">
        <v>0</v>
      </c>
      <c r="H111" s="1">
        <v>0</v>
      </c>
    </row>
    <row r="112" spans="1:8">
      <c r="A112" s="1" t="s">
        <v>110</v>
      </c>
      <c r="B112" s="2">
        <v>0.01010560337454081</v>
      </c>
      <c r="C112" s="1">
        <v>6</v>
      </c>
      <c r="D112" s="1">
        <v>0</v>
      </c>
      <c r="E112" s="1">
        <v>6</v>
      </c>
      <c r="F112" s="1">
        <v>0</v>
      </c>
      <c r="G112" s="1">
        <v>0</v>
      </c>
      <c r="H112" s="1">
        <v>0</v>
      </c>
    </row>
    <row r="113" spans="1:8">
      <c r="A113" s="1" t="s">
        <v>111</v>
      </c>
      <c r="B113" s="2">
        <v>0.01010560337454081</v>
      </c>
      <c r="C113" s="1">
        <v>6</v>
      </c>
      <c r="D113" s="1">
        <v>0</v>
      </c>
      <c r="E113" s="1">
        <v>6</v>
      </c>
      <c r="F113" s="1">
        <v>0</v>
      </c>
      <c r="G113" s="1">
        <v>0</v>
      </c>
      <c r="H113" s="1">
        <v>0</v>
      </c>
    </row>
    <row r="114" spans="1:8">
      <c r="A114" s="1" t="s">
        <v>112</v>
      </c>
      <c r="B114" s="2">
        <v>0.01010560337454081</v>
      </c>
      <c r="C114" s="1">
        <v>6</v>
      </c>
      <c r="D114" s="1">
        <v>0</v>
      </c>
      <c r="E114" s="1">
        <v>6</v>
      </c>
      <c r="F114" s="1">
        <v>0</v>
      </c>
      <c r="G114" s="1">
        <v>0</v>
      </c>
      <c r="H114" s="1">
        <v>0</v>
      </c>
    </row>
    <row r="115" spans="1:8">
      <c r="A115" s="1" t="s">
        <v>113</v>
      </c>
      <c r="B115" s="2">
        <v>0.01010560337454081</v>
      </c>
      <c r="C115" s="1">
        <v>6</v>
      </c>
      <c r="D115" s="1">
        <v>0</v>
      </c>
      <c r="E115" s="1">
        <v>6</v>
      </c>
      <c r="F115" s="1">
        <v>0</v>
      </c>
      <c r="G115" s="1">
        <v>0</v>
      </c>
      <c r="H115" s="1">
        <v>0</v>
      </c>
    </row>
    <row r="116" spans="1:8">
      <c r="A116" s="1" t="s">
        <v>114</v>
      </c>
      <c r="B116" s="2">
        <v>0.01010560337454081</v>
      </c>
      <c r="C116" s="1">
        <v>6</v>
      </c>
      <c r="D116" s="1">
        <v>0</v>
      </c>
      <c r="E116" s="1">
        <v>6</v>
      </c>
      <c r="F116" s="1">
        <v>0</v>
      </c>
      <c r="G116" s="1">
        <v>0</v>
      </c>
      <c r="H116" s="1">
        <v>0</v>
      </c>
    </row>
    <row r="117" spans="1:8">
      <c r="A117" s="1" t="s">
        <v>115</v>
      </c>
      <c r="B117" s="2">
        <v>0.01010560337454081</v>
      </c>
      <c r="C117" s="1">
        <v>6</v>
      </c>
      <c r="D117" s="1">
        <v>0</v>
      </c>
      <c r="E117" s="1">
        <v>6</v>
      </c>
      <c r="F117" s="1">
        <v>0</v>
      </c>
      <c r="G117" s="1">
        <v>0</v>
      </c>
      <c r="H117" s="1">
        <v>0</v>
      </c>
    </row>
    <row r="118" spans="1:8">
      <c r="A118" s="1" t="s">
        <v>116</v>
      </c>
      <c r="B118" s="2">
        <v>0.01010560337454081</v>
      </c>
      <c r="C118" s="1">
        <v>6</v>
      </c>
      <c r="D118" s="1">
        <v>0</v>
      </c>
      <c r="E118" s="1">
        <v>6</v>
      </c>
      <c r="F118" s="1">
        <v>0</v>
      </c>
      <c r="G118" s="1">
        <v>0</v>
      </c>
      <c r="H118" s="1">
        <v>0</v>
      </c>
    </row>
    <row r="119" spans="1:8">
      <c r="A119" s="1" t="s">
        <v>117</v>
      </c>
      <c r="B119" s="2">
        <v>0.01010560337454081</v>
      </c>
      <c r="C119" s="1">
        <v>6</v>
      </c>
      <c r="D119" s="1">
        <v>0</v>
      </c>
      <c r="E119" s="1">
        <v>6</v>
      </c>
      <c r="F119" s="1">
        <v>0</v>
      </c>
      <c r="G119" s="1">
        <v>0</v>
      </c>
      <c r="H119" s="1">
        <v>0</v>
      </c>
    </row>
    <row r="120" spans="1:8">
      <c r="A120" s="1" t="s">
        <v>118</v>
      </c>
      <c r="B120" s="2">
        <v>0.01010560337454081</v>
      </c>
      <c r="C120" s="1">
        <v>6</v>
      </c>
      <c r="D120" s="1">
        <v>0</v>
      </c>
      <c r="E120" s="1">
        <v>6</v>
      </c>
      <c r="F120" s="1">
        <v>0</v>
      </c>
      <c r="G120" s="1">
        <v>0</v>
      </c>
      <c r="H120" s="1">
        <v>0</v>
      </c>
    </row>
    <row r="121" spans="1:8">
      <c r="A121" s="1" t="s">
        <v>119</v>
      </c>
      <c r="B121" s="2">
        <v>0.01010560337454081</v>
      </c>
      <c r="C121" s="1">
        <v>6</v>
      </c>
      <c r="D121" s="1">
        <v>0</v>
      </c>
      <c r="E121" s="1">
        <v>6</v>
      </c>
      <c r="F121" s="1">
        <v>0</v>
      </c>
      <c r="G121" s="1">
        <v>0</v>
      </c>
      <c r="H121" s="1">
        <v>0</v>
      </c>
    </row>
    <row r="122" spans="1:8">
      <c r="A122" s="1" t="s">
        <v>120</v>
      </c>
      <c r="B122" s="2">
        <v>0.01010560337454081</v>
      </c>
      <c r="C122" s="1">
        <v>6</v>
      </c>
      <c r="D122" s="1">
        <v>0</v>
      </c>
      <c r="E122" s="1">
        <v>6</v>
      </c>
      <c r="F122" s="1">
        <v>0</v>
      </c>
      <c r="G122" s="1">
        <v>0</v>
      </c>
      <c r="H122" s="1">
        <v>0</v>
      </c>
    </row>
    <row r="123" spans="1:8">
      <c r="A123" s="1" t="s">
        <v>121</v>
      </c>
      <c r="B123" s="2">
        <v>0.006737069226801395</v>
      </c>
      <c r="C123" s="1">
        <v>4</v>
      </c>
      <c r="D123" s="1">
        <v>0</v>
      </c>
      <c r="E123" s="1">
        <v>4</v>
      </c>
      <c r="F123" s="1">
        <v>0</v>
      </c>
      <c r="G123" s="1">
        <v>0</v>
      </c>
      <c r="H123" s="1">
        <v>0</v>
      </c>
    </row>
    <row r="124" spans="1:8">
      <c r="A124" s="1" t="s">
        <v>122</v>
      </c>
      <c r="B124" s="2">
        <v>0.006737069226801395</v>
      </c>
      <c r="C124" s="1">
        <v>4</v>
      </c>
      <c r="D124" s="1">
        <v>0</v>
      </c>
      <c r="E124" s="1">
        <v>4</v>
      </c>
      <c r="F124" s="1">
        <v>0</v>
      </c>
      <c r="G124" s="1">
        <v>0</v>
      </c>
      <c r="H124" s="1">
        <v>0</v>
      </c>
    </row>
    <row r="125" spans="1:8">
      <c r="A125" s="1" t="s">
        <v>123</v>
      </c>
      <c r="B125" s="2">
        <v>0.006737069226801395</v>
      </c>
      <c r="C125" s="1">
        <v>4</v>
      </c>
      <c r="D125" s="1">
        <v>0</v>
      </c>
      <c r="E125" s="1">
        <v>4</v>
      </c>
      <c r="F125" s="1">
        <v>0</v>
      </c>
      <c r="G125" s="1">
        <v>0</v>
      </c>
      <c r="H125" s="1">
        <v>0</v>
      </c>
    </row>
    <row r="126" spans="1:8">
      <c r="A126" s="1" t="s">
        <v>124</v>
      </c>
      <c r="B126" s="2">
        <v>0.003368534613400698</v>
      </c>
      <c r="C126" s="1">
        <v>2</v>
      </c>
      <c r="D126" s="1">
        <v>0</v>
      </c>
      <c r="E126" s="1">
        <v>2</v>
      </c>
      <c r="F126" s="1">
        <v>0</v>
      </c>
      <c r="G126" s="1">
        <v>0</v>
      </c>
      <c r="H126" s="1">
        <v>0</v>
      </c>
    </row>
    <row r="127" spans="1:8">
      <c r="A127" s="1" t="s">
        <v>125</v>
      </c>
      <c r="B127" s="2">
        <v>0.003368534613400698</v>
      </c>
      <c r="C127" s="1">
        <v>2</v>
      </c>
      <c r="D127" s="1">
        <v>0</v>
      </c>
      <c r="E127" s="1">
        <v>2</v>
      </c>
      <c r="F127" s="1">
        <v>0</v>
      </c>
      <c r="G127" s="1">
        <v>0</v>
      </c>
      <c r="H127" s="1">
        <v>0</v>
      </c>
    </row>
    <row r="128" spans="1:8">
      <c r="A128" s="1" t="s">
        <v>126</v>
      </c>
      <c r="B128" s="2">
        <v>0.003368534613400698</v>
      </c>
      <c r="C128" s="1">
        <v>2</v>
      </c>
      <c r="D128" s="1">
        <v>0</v>
      </c>
      <c r="E128" s="1">
        <v>2</v>
      </c>
      <c r="F128" s="1">
        <v>0</v>
      </c>
      <c r="G128" s="1">
        <v>0</v>
      </c>
      <c r="H128" s="1">
        <v>0</v>
      </c>
    </row>
    <row r="129" spans="1:8">
      <c r="A129" s="1" t="s">
        <v>127</v>
      </c>
      <c r="B129" s="2">
        <v>0.003368534613400698</v>
      </c>
      <c r="C129" s="1">
        <v>2</v>
      </c>
      <c r="D129" s="1">
        <v>0</v>
      </c>
      <c r="E129" s="1">
        <v>2</v>
      </c>
      <c r="F129" s="1">
        <v>0</v>
      </c>
      <c r="G129" s="1">
        <v>0</v>
      </c>
      <c r="H129" s="1">
        <v>0</v>
      </c>
    </row>
    <row r="130" spans="1:8">
      <c r="A130" s="1" t="s">
        <v>128</v>
      </c>
      <c r="B130" s="2">
        <v>0.003368534613400698</v>
      </c>
      <c r="C130" s="1">
        <v>2</v>
      </c>
      <c r="D130" s="1">
        <v>0</v>
      </c>
      <c r="E130" s="1">
        <v>2</v>
      </c>
      <c r="F130" s="1">
        <v>0</v>
      </c>
      <c r="G130" s="1">
        <v>0</v>
      </c>
      <c r="H130" s="1">
        <v>0</v>
      </c>
    </row>
    <row r="131" spans="1:8">
      <c r="A131" s="1" t="s">
        <v>129</v>
      </c>
      <c r="B131" s="2">
        <v>0.003368534613400698</v>
      </c>
      <c r="C131" s="1">
        <v>2</v>
      </c>
      <c r="D131" s="1">
        <v>0</v>
      </c>
      <c r="E131" s="1">
        <v>2</v>
      </c>
      <c r="F131" s="1">
        <v>0</v>
      </c>
      <c r="G131" s="1">
        <v>0</v>
      </c>
      <c r="H131" s="1">
        <v>0</v>
      </c>
    </row>
    <row r="132" spans="1:8">
      <c r="A132" s="1" t="s">
        <v>130</v>
      </c>
      <c r="B132" s="2">
        <v>0.003368534613400698</v>
      </c>
      <c r="C132" s="1">
        <v>2</v>
      </c>
      <c r="D132" s="1">
        <v>0</v>
      </c>
      <c r="E132" s="1">
        <v>2</v>
      </c>
      <c r="F132" s="1">
        <v>0</v>
      </c>
      <c r="G132" s="1">
        <v>0</v>
      </c>
      <c r="H132" s="1">
        <v>0</v>
      </c>
    </row>
    <row r="133" spans="1:8">
      <c r="A133" t="s">
        <v>132</v>
      </c>
      <c r="B133">
        <f>SUBTOTAL(109,[flash_percent])</f>
        <v>0</v>
      </c>
      <c r="C133">
        <f>SUBTOTAL(109,[flash])</f>
        <v>0</v>
      </c>
      <c r="D133">
        <f>SUBTOTAL(109,[ram])</f>
        <v>0</v>
      </c>
      <c r="E133">
        <f>SUBTOTAL(109,[Code])</f>
        <v>0</v>
      </c>
      <c r="F133">
        <f>SUBTOTAL(109,[RO_data])</f>
        <v>0</v>
      </c>
      <c r="G133">
        <f>SUBTOTAL(109,[RW_data])</f>
        <v>0</v>
      </c>
      <c r="H133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2025-12-04T14:28:55Z</dcterms:created>
  <dcterms:modified xsi:type="dcterms:W3CDTF">2025-12-04T14:28:55Z</dcterms:modified>
</cp:coreProperties>
</file>