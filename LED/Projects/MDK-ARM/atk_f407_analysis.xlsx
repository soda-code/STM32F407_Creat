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<sst xmlns="http://schemas.openxmlformats.org/spreadsheetml/2006/main" count="105" uniqueCount="75">
  <si>
    <t>atk_f407</t>
  </si>
  <si>
    <t>heap_4.o</t>
  </si>
  <si>
    <t>malloc.o</t>
  </si>
  <si>
    <t>usbd_cdc_interface.o</t>
  </si>
  <si>
    <t>usbd_conf.o</t>
  </si>
  <si>
    <t>startup_stm32f407xx.o</t>
  </si>
  <si>
    <t>tasks.o</t>
  </si>
  <si>
    <t>usbd_desc.o</t>
  </si>
  <si>
    <t>usbd_cdc.o</t>
  </si>
  <si>
    <t>usart.o</t>
  </si>
  <si>
    <t>lcd.o</t>
  </si>
  <si>
    <t>can.o</t>
  </si>
  <si>
    <t>queue.o</t>
  </si>
  <si>
    <t>timers.o</t>
  </si>
  <si>
    <t>port.o</t>
  </si>
  <si>
    <t>freertos_start.o</t>
  </si>
  <si>
    <t>stm32f4xx_hal.o</t>
  </si>
  <si>
    <t>mc_w.l</t>
  </si>
  <si>
    <t>stdout.o</t>
  </si>
  <si>
    <t>system_stm32f4xx.o</t>
  </si>
  <si>
    <t>delay.o</t>
  </si>
  <si>
    <t>usbd_ctlreq.o</t>
  </si>
  <si>
    <t>stm32f4xx_ll_usb.o</t>
  </si>
  <si>
    <t>stm32f4xx_hal_pcd.o</t>
  </si>
  <si>
    <t>printfa.o</t>
  </si>
  <si>
    <t>stm32f4xx_hal_rcc.o</t>
  </si>
  <si>
    <t>stm32f4xx_hal_uart.o</t>
  </si>
  <si>
    <t>mf_w.l</t>
  </si>
  <si>
    <t>usbd_core.o</t>
  </si>
  <si>
    <t>stm32f4xx_hal_can.o</t>
  </si>
  <si>
    <t>stm32f4xx_hal_gpio.o</t>
  </si>
  <si>
    <t>stm32f4xx_hal_cortex.o</t>
  </si>
  <si>
    <t>dadd.o</t>
  </si>
  <si>
    <t>stm32f4xx_ll_fsmc.o</t>
  </si>
  <si>
    <t>dmul.o</t>
  </si>
  <si>
    <t>ddiv.o</t>
  </si>
  <si>
    <t>stm32f4xx_hal_dma.o</t>
  </si>
  <si>
    <t>sys.o</t>
  </si>
  <si>
    <t>depilogue.o</t>
  </si>
  <si>
    <t>usbd_ioreq.o</t>
  </si>
  <si>
    <t>led.o</t>
  </si>
  <si>
    <t>list.o</t>
  </si>
  <si>
    <t>uldiv.o</t>
  </si>
  <si>
    <t>stm32f4xx_hal_pcd_ex.o</t>
  </si>
  <si>
    <t>stm32f4xx_hal_sram.o</t>
  </si>
  <si>
    <t>__dczerorl2.o</t>
  </si>
  <si>
    <t>main.o</t>
  </si>
  <si>
    <t>dfixui.o</t>
  </si>
  <si>
    <t>dfixul.o</t>
  </si>
  <si>
    <t>cdrcmple.o</t>
  </si>
  <si>
    <t>uidiv.o</t>
  </si>
  <si>
    <t>memseta.o</t>
  </si>
  <si>
    <t>memcpya.o</t>
  </si>
  <si>
    <t>llsshr.o</t>
  </si>
  <si>
    <t>init.o</t>
  </si>
  <si>
    <t>llushr.o</t>
  </si>
  <si>
    <t>llshl.o</t>
  </si>
  <si>
    <t>handlers.o</t>
  </si>
  <si>
    <t>dfltui.o</t>
  </si>
  <si>
    <t>stm32f4xx_it.o</t>
  </si>
  <si>
    <t>fputc.o</t>
  </si>
  <si>
    <t>entry9a.o</t>
  </si>
  <si>
    <t>entry2.o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</si>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</sst>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ram_percent!$A$3:$A$67</c:f>
              <c:strCache>
                <c:ptCount val="65"/>
                <c:pt idx="0">
                  <c:v>heap_4.o</c:v>
                </c:pt>
                <c:pt idx="1">
                  <c:v>malloc.o</c:v>
                </c:pt>
                <c:pt idx="2">
                  <c:v>usbd_cdc_interface.o</c:v>
                </c:pt>
                <c:pt idx="3">
                  <c:v>usbd_conf.o</c:v>
                </c:pt>
                <c:pt idx="4">
                  <c:v>startup_stm32f407xx.o</c:v>
                </c:pt>
                <c:pt idx="5">
                  <c:v>tasks.o</c:v>
                </c:pt>
                <c:pt idx="6">
                  <c:v>usbd_desc.o</c:v>
                </c:pt>
                <c:pt idx="7">
                  <c:v>usbd_cdc.o</c:v>
                </c:pt>
                <c:pt idx="8">
                  <c:v>usart.o</c:v>
                </c:pt>
                <c:pt idx="9">
                  <c:v>lcd.o</c:v>
                </c:pt>
                <c:pt idx="10">
                  <c:v>can.o</c:v>
                </c:pt>
                <c:pt idx="11">
                  <c:v>queue.o</c:v>
                </c:pt>
                <c:pt idx="12">
                  <c:v>timers.o</c:v>
                </c:pt>
                <c:pt idx="13">
                  <c:v>port.o</c:v>
                </c:pt>
                <c:pt idx="14">
                  <c:v>freertos_start.o</c:v>
                </c:pt>
                <c:pt idx="15">
                  <c:v>stm32f4xx_hal.o</c:v>
                </c:pt>
                <c:pt idx="16">
                  <c:v>mc_w.l</c:v>
                </c:pt>
                <c:pt idx="17">
                  <c:v>stdout.o</c:v>
                </c:pt>
                <c:pt idx="18">
                  <c:v>system_stm32f4xx.o</c:v>
                </c:pt>
                <c:pt idx="19">
                  <c:v>delay.o</c:v>
                </c:pt>
                <c:pt idx="20">
                  <c:v>usbd_ctlreq.o</c:v>
                </c:pt>
                <c:pt idx="64">
                  <c:v>Totals</c:v>
                </c:pt>
              </c:strCache>
            </c:strRef>
          </c:cat>
          <c:val>
            <c:numRef>
              <c:f>ram_percent!$B$3:$B$67</c:f>
              <c:numCache>
                <c:formatCode>General</c:formatCode>
                <c:ptCount val="65"/>
                <c:pt idx="0">
                  <c:v>54.96340179443359</c:v>
                </c:pt>
                <c:pt idx="1">
                  <c:v>38.94731140136719</c:v>
                </c:pt>
                <c:pt idx="2">
                  <c:v>1.510867714881897</c:v>
                </c:pt>
                <c:pt idx="3">
                  <c:v>1.154383420944214</c:v>
                </c:pt>
                <c:pt idx="4">
                  <c:v>1.144325852394104</c:v>
                </c:pt>
                <c:pt idx="5">
                  <c:v>0.8984746336936951</c:v>
                </c:pt>
                <c:pt idx="6">
                  <c:v>0.3732469081878662</c:v>
                </c:pt>
                <c:pt idx="7">
                  <c:v>0.3028440475463867</c:v>
                </c:pt>
                <c:pt idx="8">
                  <c:v>0.3028440475463867</c:v>
                </c:pt>
                <c:pt idx="9">
                  <c:v>0.1050455346703529</c:v>
                </c:pt>
                <c:pt idx="10">
                  <c:v>0.1028105244040489</c:v>
                </c:pt>
                <c:pt idx="11">
                  <c:v>0.0715203657746315</c:v>
                </c:pt>
                <c:pt idx="12">
                  <c:v>0.06705034524202347</c:v>
                </c:pt>
                <c:pt idx="13">
                  <c:v>0.01341006904840469</c:v>
                </c:pt>
                <c:pt idx="14">
                  <c:v>0.01341006904840469</c:v>
                </c:pt>
                <c:pt idx="15">
                  <c:v>0.01005755178630352</c:v>
                </c:pt>
                <c:pt idx="16">
                  <c:v>0.004470022860914469</c:v>
                </c:pt>
                <c:pt idx="17">
                  <c:v>0.004470022860914469</c:v>
                </c:pt>
                <c:pt idx="18">
                  <c:v>0.004470022860914469</c:v>
                </c:pt>
                <c:pt idx="19">
                  <c:v>0.004470022860914469</c:v>
                </c:pt>
                <c:pt idx="20">
                  <c:v>0.001117505715228617</c:v>
                </c:pt>
                <c:pt idx="6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flash_percent!$A$3:$A$67</c:f>
              <c:strCache>
                <c:ptCount val="65"/>
                <c:pt idx="0">
                  <c:v>lcd.o</c:v>
                </c:pt>
                <c:pt idx="1">
                  <c:v>tasks.o</c:v>
                </c:pt>
                <c:pt idx="2">
                  <c:v>stm32f4xx_ll_usb.o</c:v>
                </c:pt>
                <c:pt idx="3">
                  <c:v>stm32f4xx_hal_pcd.o</c:v>
                </c:pt>
                <c:pt idx="4">
                  <c:v>mc_w.l</c:v>
                </c:pt>
                <c:pt idx="5">
                  <c:v>printfa.o</c:v>
                </c:pt>
                <c:pt idx="6">
                  <c:v>usbd_ctlreq.o</c:v>
                </c:pt>
                <c:pt idx="7">
                  <c:v>stm32f4xx_hal_rcc.o</c:v>
                </c:pt>
                <c:pt idx="8">
                  <c:v>stm32f4xx_hal_uart.o</c:v>
                </c:pt>
                <c:pt idx="9">
                  <c:v>queue.o</c:v>
                </c:pt>
                <c:pt idx="10">
                  <c:v>usbd_cdc.o</c:v>
                </c:pt>
                <c:pt idx="11">
                  <c:v>port.o</c:v>
                </c:pt>
                <c:pt idx="12">
                  <c:v>mf_w.l</c:v>
                </c:pt>
                <c:pt idx="13">
                  <c:v>timers.o</c:v>
                </c:pt>
                <c:pt idx="14">
                  <c:v>usbd_core.o</c:v>
                </c:pt>
                <c:pt idx="15">
                  <c:v>heap_4.o</c:v>
                </c:pt>
                <c:pt idx="16">
                  <c:v>usbd_conf.o</c:v>
                </c:pt>
                <c:pt idx="17">
                  <c:v>stm32f4xx_hal_can.o</c:v>
                </c:pt>
                <c:pt idx="18">
                  <c:v>malloc.o</c:v>
                </c:pt>
                <c:pt idx="19">
                  <c:v>stm32f4xx_hal_gpio.o</c:v>
                </c:pt>
                <c:pt idx="20">
                  <c:v>usbd_desc.o</c:v>
                </c:pt>
                <c:pt idx="21">
                  <c:v>startup_stm32f407xx.o</c:v>
                </c:pt>
                <c:pt idx="22">
                  <c:v>usart.o</c:v>
                </c:pt>
                <c:pt idx="23">
                  <c:v>usbd_cdc_interface.o</c:v>
                </c:pt>
                <c:pt idx="24">
                  <c:v>stm32f4xx_hal_cortex.o</c:v>
                </c:pt>
                <c:pt idx="25">
                  <c:v>dadd.o</c:v>
                </c:pt>
                <c:pt idx="26">
                  <c:v>can.o</c:v>
                </c:pt>
                <c:pt idx="27">
                  <c:v>stm32f4xx_ll_fsmc.o</c:v>
                </c:pt>
                <c:pt idx="28">
                  <c:v>dmul.o</c:v>
                </c:pt>
                <c:pt idx="29">
                  <c:v>stm32f4xx_hal.o</c:v>
                </c:pt>
                <c:pt idx="30">
                  <c:v>ddiv.o</c:v>
                </c:pt>
                <c:pt idx="31">
                  <c:v>freertos_start.o</c:v>
                </c:pt>
                <c:pt idx="32">
                  <c:v>stm32f4xx_hal_dma.o</c:v>
                </c:pt>
                <c:pt idx="33">
                  <c:v>sys.o</c:v>
                </c:pt>
                <c:pt idx="34">
                  <c:v>depilogue.o</c:v>
                </c:pt>
                <c:pt idx="35">
                  <c:v>delay.o</c:v>
                </c:pt>
                <c:pt idx="36">
                  <c:v>usbd_ioreq.o</c:v>
                </c:pt>
                <c:pt idx="37">
                  <c:v>led.o</c:v>
                </c:pt>
                <c:pt idx="38">
                  <c:v>list.o</c:v>
                </c:pt>
                <c:pt idx="39">
                  <c:v>uldiv.o</c:v>
                </c:pt>
                <c:pt idx="40">
                  <c:v>stm32f4xx_hal_pcd_ex.o</c:v>
                </c:pt>
                <c:pt idx="41">
                  <c:v>stm32f4xx_hal_sram.o</c:v>
                </c:pt>
                <c:pt idx="42">
                  <c:v>__dczerorl2.o</c:v>
                </c:pt>
                <c:pt idx="43">
                  <c:v>main.o</c:v>
                </c:pt>
                <c:pt idx="44">
                  <c:v>dfixui.o</c:v>
                </c:pt>
                <c:pt idx="45">
                  <c:v>dfixul.o</c:v>
                </c:pt>
                <c:pt idx="46">
                  <c:v>cdrcmple.o</c:v>
                </c:pt>
                <c:pt idx="47">
                  <c:v>system_stm32f4xx.o</c:v>
                </c:pt>
                <c:pt idx="48">
                  <c:v>uidiv.o</c:v>
                </c:pt>
                <c:pt idx="49">
                  <c:v>memseta.o</c:v>
                </c:pt>
                <c:pt idx="50">
                  <c:v>memcpya.o</c:v>
                </c:pt>
                <c:pt idx="51">
                  <c:v>llsshr.o</c:v>
                </c:pt>
                <c:pt idx="52">
                  <c:v>init.o</c:v>
                </c:pt>
                <c:pt idx="53">
                  <c:v>llushr.o</c:v>
                </c:pt>
                <c:pt idx="54">
                  <c:v>llshl.o</c:v>
                </c:pt>
                <c:pt idx="55">
                  <c:v>handlers.o</c:v>
                </c:pt>
                <c:pt idx="56">
                  <c:v>dfltui.o</c:v>
                </c:pt>
                <c:pt idx="57">
                  <c:v>stm32f4xx_it.o</c:v>
                </c:pt>
                <c:pt idx="58">
                  <c:v>fputc.o</c:v>
                </c:pt>
                <c:pt idx="59">
                  <c:v>entry9a.o</c:v>
                </c:pt>
                <c:pt idx="60">
                  <c:v>entry2.o</c:v>
                </c:pt>
                <c:pt idx="61">
                  <c:v>stdout.o</c:v>
                </c:pt>
                <c:pt idx="62">
                  <c:v>entry5.o</c:v>
                </c:pt>
                <c:pt idx="63">
                  <c:v>entry12b.o</c:v>
                </c:pt>
                <c:pt idx="64">
                  <c:v>Totals</c:v>
                </c:pt>
              </c:strCache>
            </c:strRef>
          </c:cat>
          <c:val>
            <c:numRef>
              <c:f>flash_percent!$B$3:$B$67</c:f>
              <c:numCache>
                <c:formatCode>General</c:formatCode>
                <c:ptCount val="65"/>
                <c:pt idx="0">
                  <c:v>25.47530746459961</c:v>
                </c:pt>
                <c:pt idx="1">
                  <c:v>7.677963733673096</c:v>
                </c:pt>
                <c:pt idx="2">
                  <c:v>7.285799503326416</c:v>
                </c:pt>
                <c:pt idx="3">
                  <c:v>6.205424785614014</c:v>
                </c:pt>
                <c:pt idx="4">
                  <c:v>5.244237899780273</c:v>
                </c:pt>
                <c:pt idx="5">
                  <c:v>4.263826847076416</c:v>
                </c:pt>
                <c:pt idx="6">
                  <c:v>4.158096313476563</c:v>
                </c:pt>
                <c:pt idx="7">
                  <c:v>3.498721599578857</c:v>
                </c:pt>
                <c:pt idx="8">
                  <c:v>3.452584743499756</c:v>
                </c:pt>
                <c:pt idx="9">
                  <c:v>3.025817394256592</c:v>
                </c:pt>
                <c:pt idx="10">
                  <c:v>2.401045799255371</c:v>
                </c:pt>
                <c:pt idx="11">
                  <c:v>2.256867647171021</c:v>
                </c:pt>
                <c:pt idx="12">
                  <c:v>2.195351600646973</c:v>
                </c:pt>
                <c:pt idx="13">
                  <c:v>2.118456602096558</c:v>
                </c:pt>
                <c:pt idx="14">
                  <c:v>1.930063962936401</c:v>
                </c:pt>
                <c:pt idx="15">
                  <c:v>1.691689610481262</c:v>
                </c:pt>
                <c:pt idx="16">
                  <c:v>1.589803695678711</c:v>
                </c:pt>
                <c:pt idx="17">
                  <c:v>1.457159876823425</c:v>
                </c:pt>
                <c:pt idx="18">
                  <c:v>1.107287764549255</c:v>
                </c:pt>
                <c:pt idx="19">
                  <c:v>1.053461194038391</c:v>
                </c:pt>
                <c:pt idx="20">
                  <c:v>0.9842557311058044</c:v>
                </c:pt>
                <c:pt idx="21">
                  <c:v>0.8535342812538147</c:v>
                </c:pt>
                <c:pt idx="22">
                  <c:v>0.8362329006195068</c:v>
                </c:pt>
                <c:pt idx="23">
                  <c:v>0.8227763175964356</c:v>
                </c:pt>
                <c:pt idx="24">
                  <c:v>0.6612968444824219</c:v>
                </c:pt>
                <c:pt idx="25">
                  <c:v>0.6420730948448181</c:v>
                </c:pt>
                <c:pt idx="26">
                  <c:v>0.6151598691940308</c:v>
                </c:pt>
                <c:pt idx="27">
                  <c:v>0.4459908902645111</c:v>
                </c:pt>
                <c:pt idx="28">
                  <c:v>0.4383013844490051</c:v>
                </c:pt>
                <c:pt idx="29">
                  <c:v>0.4286895096302033</c:v>
                </c:pt>
                <c:pt idx="30">
                  <c:v>0.4267671406269074</c:v>
                </c:pt>
                <c:pt idx="31">
                  <c:v>0.4229224026203156</c:v>
                </c:pt>
                <c:pt idx="32">
                  <c:v>0.4036986529827118</c:v>
                </c:pt>
                <c:pt idx="33">
                  <c:v>0.392164409160614</c:v>
                </c:pt>
                <c:pt idx="34">
                  <c:v>0.3575616478919983</c:v>
                </c:pt>
                <c:pt idx="35">
                  <c:v>0.3383379280567169</c:v>
                </c:pt>
                <c:pt idx="36">
                  <c:v>0.3344931602478027</c:v>
                </c:pt>
                <c:pt idx="37">
                  <c:v>0.2922009229660034</c:v>
                </c:pt>
                <c:pt idx="38">
                  <c:v>0.2845114171504974</c:v>
                </c:pt>
                <c:pt idx="39">
                  <c:v>0.188392698764801</c:v>
                </c:pt>
                <c:pt idx="40">
                  <c:v>0.1730137020349503</c:v>
                </c:pt>
                <c:pt idx="41">
                  <c:v>0.1691689640283585</c:v>
                </c:pt>
                <c:pt idx="42">
                  <c:v>0.1653242111206055</c:v>
                </c:pt>
                <c:pt idx="43">
                  <c:v>0.1461004614830017</c:v>
                </c:pt>
                <c:pt idx="44">
                  <c:v>0.09611872583627701</c:v>
                </c:pt>
                <c:pt idx="45">
                  <c:v>0.09227398037910461</c:v>
                </c:pt>
                <c:pt idx="46">
                  <c:v>0.09227398037910461</c:v>
                </c:pt>
                <c:pt idx="47">
                  <c:v>0.09227398037910461</c:v>
                </c:pt>
                <c:pt idx="48">
                  <c:v>0.08458448201417923</c:v>
                </c:pt>
                <c:pt idx="49">
                  <c:v>0.06920548528432846</c:v>
                </c:pt>
                <c:pt idx="50">
                  <c:v>0.06920548528432846</c:v>
                </c:pt>
                <c:pt idx="51">
                  <c:v>0.06920548528432846</c:v>
                </c:pt>
                <c:pt idx="52">
                  <c:v>0.06920548528432846</c:v>
                </c:pt>
                <c:pt idx="53">
                  <c:v>0.06151598319411278</c:v>
                </c:pt>
                <c:pt idx="54">
                  <c:v>0.05767123401165009</c:v>
                </c:pt>
                <c:pt idx="55">
                  <c:v>0.05767123401165009</c:v>
                </c:pt>
                <c:pt idx="56">
                  <c:v>0.0499817356467247</c:v>
                </c:pt>
                <c:pt idx="57">
                  <c:v>0.03844749182462692</c:v>
                </c:pt>
                <c:pt idx="58">
                  <c:v>0.03460274264216423</c:v>
                </c:pt>
                <c:pt idx="59">
                  <c:v>0.01537899579852819</c:v>
                </c:pt>
                <c:pt idx="60">
                  <c:v>0.01537899579852819</c:v>
                </c:pt>
                <c:pt idx="61">
                  <c:v>0.007689497899264097</c:v>
                </c:pt>
                <c:pt idx="62">
                  <c:v>0.007689497899264097</c:v>
                </c:pt>
                <c:pt idx="63">
                  <c:v>0.007689497899264097</c:v>
                </c:pt>
                <c:pt idx="6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7" totalsRowCount="1">
  <autoFilter ref="A2:H6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7" totalsRowCount="1">
  <autoFilter ref="A2:H6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65</v>
      </c>
      <c r="B2" t="s">
        <v>67</v>
      </c>
      <c r="C2" t="s">
        <v>68</v>
      </c>
      <c r="D2" t="s">
        <v>69</v>
      </c>
      <c r="E2" t="s">
        <v>70</v>
      </c>
      <c r="F2" t="s">
        <v>71</v>
      </c>
      <c r="G2" t="s">
        <v>72</v>
      </c>
      <c r="H2" t="s">
        <v>73</v>
      </c>
    </row>
    <row r="3" spans="1:8">
      <c r="A3" s="1" t="s">
        <v>1</v>
      </c>
      <c r="B3" s="2">
        <v>54.96340179443359</v>
      </c>
      <c r="C3" s="1">
        <v>49184</v>
      </c>
      <c r="D3" s="1">
        <v>880</v>
      </c>
      <c r="E3" s="1">
        <v>848</v>
      </c>
      <c r="F3" s="1">
        <v>0</v>
      </c>
      <c r="G3" s="1">
        <v>32</v>
      </c>
      <c r="H3" s="1">
        <v>49152</v>
      </c>
    </row>
    <row r="4" spans="1:8">
      <c r="A4" s="1" t="s">
        <v>2</v>
      </c>
      <c r="B4" s="2">
        <v>38.94731140136719</v>
      </c>
      <c r="C4" s="1">
        <v>34852</v>
      </c>
      <c r="D4" s="1">
        <v>576</v>
      </c>
      <c r="E4" s="1">
        <v>504</v>
      </c>
      <c r="F4" s="1">
        <v>36</v>
      </c>
      <c r="G4" s="1">
        <v>36</v>
      </c>
      <c r="H4" s="1">
        <v>34816</v>
      </c>
    </row>
    <row r="5" spans="1:8">
      <c r="A5" s="1" t="s">
        <v>3</v>
      </c>
      <c r="B5" s="2">
        <v>1.510867714881897</v>
      </c>
      <c r="C5" s="1">
        <v>1352</v>
      </c>
      <c r="D5" s="1">
        <v>428</v>
      </c>
      <c r="E5" s="1">
        <v>396</v>
      </c>
      <c r="F5" s="1">
        <v>0</v>
      </c>
      <c r="G5" s="1">
        <v>32</v>
      </c>
      <c r="H5" s="1">
        <v>1320</v>
      </c>
    </row>
    <row r="6" spans="1:8">
      <c r="A6" s="1" t="s">
        <v>4</v>
      </c>
      <c r="B6" s="2">
        <v>1.154383420944214</v>
      </c>
      <c r="C6" s="1">
        <v>1033</v>
      </c>
      <c r="D6" s="1">
        <v>827</v>
      </c>
      <c r="E6" s="1">
        <v>826</v>
      </c>
      <c r="F6" s="1">
        <v>0</v>
      </c>
      <c r="G6" s="1">
        <v>1</v>
      </c>
      <c r="H6" s="1">
        <v>1032</v>
      </c>
    </row>
    <row r="7" spans="1:8">
      <c r="A7" s="1" t="s">
        <v>5</v>
      </c>
      <c r="B7" s="2">
        <v>1.144325852394104</v>
      </c>
      <c r="C7" s="1">
        <v>1024</v>
      </c>
      <c r="D7" s="1">
        <v>444</v>
      </c>
      <c r="E7" s="1">
        <v>52</v>
      </c>
      <c r="F7" s="1">
        <v>392</v>
      </c>
      <c r="G7" s="1">
        <v>0</v>
      </c>
      <c r="H7" s="1">
        <v>1024</v>
      </c>
    </row>
    <row r="8" spans="1:8">
      <c r="A8" s="1" t="s">
        <v>6</v>
      </c>
      <c r="B8" s="2">
        <v>0.8984746336936951</v>
      </c>
      <c r="C8" s="1">
        <v>804</v>
      </c>
      <c r="D8" s="1">
        <v>3994</v>
      </c>
      <c r="E8" s="1">
        <v>3930</v>
      </c>
      <c r="F8" s="1">
        <v>0</v>
      </c>
      <c r="G8" s="1">
        <v>64</v>
      </c>
      <c r="H8" s="1">
        <v>740</v>
      </c>
    </row>
    <row r="9" spans="1:8">
      <c r="A9" s="1" t="s">
        <v>7</v>
      </c>
      <c r="B9" s="2">
        <v>0.3732469081878662</v>
      </c>
      <c r="C9" s="1">
        <v>334</v>
      </c>
      <c r="D9" s="1">
        <v>512</v>
      </c>
      <c r="E9" s="1">
        <v>434</v>
      </c>
      <c r="F9" s="1">
        <v>0</v>
      </c>
      <c r="G9" s="1">
        <v>78</v>
      </c>
      <c r="H9" s="1">
        <v>256</v>
      </c>
    </row>
    <row r="10" spans="1:8">
      <c r="A10" s="1" t="s">
        <v>8</v>
      </c>
      <c r="B10" s="2">
        <v>0.3028440475463867</v>
      </c>
      <c r="C10" s="1">
        <v>271</v>
      </c>
      <c r="D10" s="1">
        <v>1249</v>
      </c>
      <c r="E10" s="1">
        <v>978</v>
      </c>
      <c r="F10" s="1">
        <v>0</v>
      </c>
      <c r="G10" s="1">
        <v>271</v>
      </c>
      <c r="H10" s="1">
        <v>0</v>
      </c>
    </row>
    <row r="11" spans="1:8">
      <c r="A11" s="1" t="s">
        <v>9</v>
      </c>
      <c r="B11" s="2">
        <v>0.3028440475463867</v>
      </c>
      <c r="C11" s="1">
        <v>271</v>
      </c>
      <c r="D11" s="1">
        <v>435</v>
      </c>
      <c r="E11" s="1">
        <v>432</v>
      </c>
      <c r="F11" s="1">
        <v>0</v>
      </c>
      <c r="G11" s="1">
        <v>3</v>
      </c>
      <c r="H11" s="1">
        <v>268</v>
      </c>
    </row>
    <row r="12" spans="1:8">
      <c r="A12" s="1" t="s">
        <v>10</v>
      </c>
      <c r="B12" s="2">
        <v>0.1050455346703529</v>
      </c>
      <c r="C12" s="1">
        <v>94</v>
      </c>
      <c r="D12" s="1">
        <v>13252</v>
      </c>
      <c r="E12" s="1">
        <v>13252</v>
      </c>
      <c r="F12" s="1">
        <v>0</v>
      </c>
      <c r="G12" s="1">
        <v>0</v>
      </c>
      <c r="H12" s="1">
        <v>94</v>
      </c>
    </row>
    <row r="13" spans="1:8">
      <c r="A13" s="1" t="s">
        <v>11</v>
      </c>
      <c r="B13" s="2">
        <v>0.1028105244040489</v>
      </c>
      <c r="C13" s="1">
        <v>92</v>
      </c>
      <c r="D13" s="1">
        <v>320</v>
      </c>
      <c r="E13" s="1">
        <v>320</v>
      </c>
      <c r="F13" s="1">
        <v>0</v>
      </c>
      <c r="G13" s="1">
        <v>0</v>
      </c>
      <c r="H13" s="1">
        <v>92</v>
      </c>
    </row>
    <row r="14" spans="1:8">
      <c r="A14" s="1" t="s">
        <v>12</v>
      </c>
      <c r="B14" s="2">
        <v>0.0715203657746315</v>
      </c>
      <c r="C14" s="1">
        <v>64</v>
      </c>
      <c r="D14" s="1">
        <v>1574</v>
      </c>
      <c r="E14" s="1">
        <v>1574</v>
      </c>
      <c r="F14" s="1">
        <v>0</v>
      </c>
      <c r="G14" s="1">
        <v>0</v>
      </c>
      <c r="H14" s="1">
        <v>64</v>
      </c>
    </row>
    <row r="15" spans="1:8">
      <c r="A15" s="1" t="s">
        <v>13</v>
      </c>
      <c r="B15" s="2">
        <v>0.06705034524202347</v>
      </c>
      <c r="C15" s="1">
        <v>60</v>
      </c>
      <c r="D15" s="1">
        <v>1102</v>
      </c>
      <c r="E15" s="1">
        <v>1082</v>
      </c>
      <c r="F15" s="1">
        <v>0</v>
      </c>
      <c r="G15" s="1">
        <v>20</v>
      </c>
      <c r="H15" s="1">
        <v>40</v>
      </c>
    </row>
    <row r="16" spans="1:8">
      <c r="A16" s="1" t="s">
        <v>14</v>
      </c>
      <c r="B16" s="2">
        <v>0.01341006904840469</v>
      </c>
      <c r="C16" s="1">
        <v>12</v>
      </c>
      <c r="D16" s="1">
        <v>1174</v>
      </c>
      <c r="E16" s="1">
        <v>1162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0.01341006904840469</v>
      </c>
      <c r="C17" s="1">
        <v>12</v>
      </c>
      <c r="D17" s="1">
        <v>220</v>
      </c>
      <c r="E17" s="1">
        <v>208</v>
      </c>
      <c r="F17" s="1">
        <v>0</v>
      </c>
      <c r="G17" s="1">
        <v>12</v>
      </c>
      <c r="H17" s="1">
        <v>0</v>
      </c>
    </row>
    <row r="18" spans="1:8">
      <c r="A18" s="1" t="s">
        <v>16</v>
      </c>
      <c r="B18" s="2">
        <v>0.01005755178630352</v>
      </c>
      <c r="C18" s="1">
        <v>9</v>
      </c>
      <c r="D18" s="1">
        <v>223</v>
      </c>
      <c r="E18" s="1">
        <v>214</v>
      </c>
      <c r="F18" s="1">
        <v>0</v>
      </c>
      <c r="G18" s="1">
        <v>9</v>
      </c>
      <c r="H18" s="1">
        <v>0</v>
      </c>
    </row>
    <row r="19" spans="1:8">
      <c r="A19" s="1" t="s">
        <v>17</v>
      </c>
      <c r="B19" s="2">
        <v>0.004470022860914469</v>
      </c>
      <c r="C19" s="1">
        <v>4</v>
      </c>
      <c r="D19" s="1">
        <v>2728</v>
      </c>
      <c r="E19" s="1">
        <v>2724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0.004470022860914469</v>
      </c>
      <c r="C20" s="1">
        <v>4</v>
      </c>
      <c r="D20" s="1">
        <v>4</v>
      </c>
      <c r="E20" s="1">
        <v>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0.004470022860914469</v>
      </c>
      <c r="C21" s="1">
        <v>4</v>
      </c>
      <c r="D21" s="1">
        <v>48</v>
      </c>
      <c r="E21" s="1">
        <v>20</v>
      </c>
      <c r="F21" s="1">
        <v>24</v>
      </c>
      <c r="G21" s="1">
        <v>4</v>
      </c>
      <c r="H21" s="1">
        <v>0</v>
      </c>
    </row>
    <row r="22" spans="1:8">
      <c r="A22" s="1" t="s">
        <v>20</v>
      </c>
      <c r="B22" s="2">
        <v>0.004470022860914469</v>
      </c>
      <c r="C22" s="1">
        <v>4</v>
      </c>
      <c r="D22" s="1">
        <v>176</v>
      </c>
      <c r="E22" s="1">
        <v>172</v>
      </c>
      <c r="F22" s="1">
        <v>0</v>
      </c>
      <c r="G22" s="1">
        <v>4</v>
      </c>
      <c r="H22" s="1">
        <v>0</v>
      </c>
    </row>
    <row r="23" spans="1:8">
      <c r="A23" s="1" t="s">
        <v>21</v>
      </c>
      <c r="B23" s="2">
        <v>0.001117505715228617</v>
      </c>
      <c r="C23" s="1">
        <v>1</v>
      </c>
      <c r="D23" s="1">
        <v>2163</v>
      </c>
      <c r="E23" s="1">
        <v>2162</v>
      </c>
      <c r="F23" s="1">
        <v>0</v>
      </c>
      <c r="G23" s="1">
        <v>1</v>
      </c>
      <c r="H23" s="1">
        <v>0</v>
      </c>
    </row>
    <row r="67" spans="1:8">
      <c r="A67" t="s">
        <v>66</v>
      </c>
      <c r="B67">
        <f>SUBTOTAL(109,[ram_percent])</f>
        <v>0</v>
      </c>
      <c r="C67">
        <f>SUBTOTAL(109,[ram])</f>
        <v>0</v>
      </c>
      <c r="D67">
        <f>SUBTOTAL(109,[flash])</f>
        <v>0</v>
      </c>
      <c r="E67">
        <f>SUBTOTAL(109,[Code])</f>
        <v>0</v>
      </c>
      <c r="F67">
        <f>SUBTOTAL(109,[RO_data])</f>
        <v>0</v>
      </c>
      <c r="G67">
        <f>SUBTOTAL(109,[RW_data])</f>
        <v>0</v>
      </c>
      <c r="H6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65</v>
      </c>
      <c r="B2" t="s">
        <v>74</v>
      </c>
      <c r="C2" t="s">
        <v>69</v>
      </c>
      <c r="D2" t="s">
        <v>68</v>
      </c>
      <c r="E2" t="s">
        <v>70</v>
      </c>
      <c r="F2" t="s">
        <v>71</v>
      </c>
      <c r="G2" t="s">
        <v>72</v>
      </c>
      <c r="H2" t="s">
        <v>73</v>
      </c>
    </row>
    <row r="3" spans="1:8">
      <c r="A3" s="1" t="s">
        <v>10</v>
      </c>
      <c r="B3" s="2">
        <v>25.47530746459961</v>
      </c>
      <c r="C3" s="1">
        <v>13252</v>
      </c>
      <c r="D3" s="1">
        <v>94</v>
      </c>
      <c r="E3" s="1">
        <v>13252</v>
      </c>
      <c r="F3" s="1">
        <v>0</v>
      </c>
      <c r="G3" s="1">
        <v>0</v>
      </c>
      <c r="H3" s="1">
        <v>94</v>
      </c>
    </row>
    <row r="4" spans="1:8">
      <c r="A4" s="1" t="s">
        <v>6</v>
      </c>
      <c r="B4" s="2">
        <v>7.677963733673096</v>
      </c>
      <c r="C4" s="1">
        <v>3994</v>
      </c>
      <c r="D4" s="1">
        <v>804</v>
      </c>
      <c r="E4" s="1">
        <v>3930</v>
      </c>
      <c r="F4" s="1">
        <v>0</v>
      </c>
      <c r="G4" s="1">
        <v>64</v>
      </c>
      <c r="H4" s="1">
        <v>740</v>
      </c>
    </row>
    <row r="5" spans="1:8">
      <c r="A5" s="1" t="s">
        <v>22</v>
      </c>
      <c r="B5" s="2">
        <v>7.285799503326416</v>
      </c>
      <c r="C5" s="1">
        <v>3790</v>
      </c>
      <c r="D5" s="1">
        <v>0</v>
      </c>
      <c r="E5" s="1">
        <v>3790</v>
      </c>
      <c r="F5" s="1">
        <v>0</v>
      </c>
      <c r="G5" s="1">
        <v>0</v>
      </c>
      <c r="H5" s="1">
        <v>0</v>
      </c>
    </row>
    <row r="6" spans="1:8">
      <c r="A6" s="1" t="s">
        <v>23</v>
      </c>
      <c r="B6" s="2">
        <v>6.205424785614014</v>
      </c>
      <c r="C6" s="1">
        <v>3228</v>
      </c>
      <c r="D6" s="1">
        <v>0</v>
      </c>
      <c r="E6" s="1">
        <v>3228</v>
      </c>
      <c r="F6" s="1">
        <v>0</v>
      </c>
      <c r="G6" s="1">
        <v>0</v>
      </c>
      <c r="H6" s="1">
        <v>0</v>
      </c>
    </row>
    <row r="7" spans="1:8">
      <c r="A7" s="1" t="s">
        <v>17</v>
      </c>
      <c r="B7" s="2">
        <v>5.244237899780273</v>
      </c>
      <c r="C7" s="1">
        <v>2728</v>
      </c>
      <c r="D7" s="1">
        <v>4</v>
      </c>
      <c r="E7" s="1">
        <v>2724</v>
      </c>
      <c r="F7" s="1">
        <v>0</v>
      </c>
      <c r="G7" s="1">
        <v>4</v>
      </c>
      <c r="H7" s="1">
        <v>0</v>
      </c>
    </row>
    <row r="8" spans="1:8">
      <c r="A8" s="1" t="s">
        <v>24</v>
      </c>
      <c r="B8" s="2">
        <v>4.263826847076416</v>
      </c>
      <c r="C8" s="1">
        <v>2218</v>
      </c>
      <c r="D8" s="1">
        <v>0</v>
      </c>
      <c r="E8" s="1">
        <v>2218</v>
      </c>
      <c r="F8" s="1">
        <v>0</v>
      </c>
      <c r="G8" s="1">
        <v>0</v>
      </c>
      <c r="H8" s="1">
        <v>0</v>
      </c>
    </row>
    <row r="9" spans="1:8">
      <c r="A9" s="1" t="s">
        <v>21</v>
      </c>
      <c r="B9" s="2">
        <v>4.158096313476563</v>
      </c>
      <c r="C9" s="1">
        <v>2163</v>
      </c>
      <c r="D9" s="1">
        <v>1</v>
      </c>
      <c r="E9" s="1">
        <v>2162</v>
      </c>
      <c r="F9" s="1">
        <v>0</v>
      </c>
      <c r="G9" s="1">
        <v>1</v>
      </c>
      <c r="H9" s="1">
        <v>0</v>
      </c>
    </row>
    <row r="10" spans="1:8">
      <c r="A10" s="1" t="s">
        <v>25</v>
      </c>
      <c r="B10" s="2">
        <v>3.498721599578857</v>
      </c>
      <c r="C10" s="1">
        <v>1820</v>
      </c>
      <c r="D10" s="1">
        <v>0</v>
      </c>
      <c r="E10" s="1">
        <v>1820</v>
      </c>
      <c r="F10" s="1">
        <v>0</v>
      </c>
      <c r="G10" s="1">
        <v>0</v>
      </c>
      <c r="H10" s="1">
        <v>0</v>
      </c>
    </row>
    <row r="11" spans="1:8">
      <c r="A11" s="1" t="s">
        <v>26</v>
      </c>
      <c r="B11" s="2">
        <v>3.452584743499756</v>
      </c>
      <c r="C11" s="1">
        <v>1796</v>
      </c>
      <c r="D11" s="1">
        <v>0</v>
      </c>
      <c r="E11" s="1">
        <v>1796</v>
      </c>
      <c r="F11" s="1">
        <v>0</v>
      </c>
      <c r="G11" s="1">
        <v>0</v>
      </c>
      <c r="H11" s="1">
        <v>0</v>
      </c>
    </row>
    <row r="12" spans="1:8">
      <c r="A12" s="1" t="s">
        <v>12</v>
      </c>
      <c r="B12" s="2">
        <v>3.025817394256592</v>
      </c>
      <c r="C12" s="1">
        <v>1574</v>
      </c>
      <c r="D12" s="1">
        <v>64</v>
      </c>
      <c r="E12" s="1">
        <v>1574</v>
      </c>
      <c r="F12" s="1">
        <v>0</v>
      </c>
      <c r="G12" s="1">
        <v>0</v>
      </c>
      <c r="H12" s="1">
        <v>64</v>
      </c>
    </row>
    <row r="13" spans="1:8">
      <c r="A13" s="1" t="s">
        <v>8</v>
      </c>
      <c r="B13" s="2">
        <v>2.401045799255371</v>
      </c>
      <c r="C13" s="1">
        <v>1249</v>
      </c>
      <c r="D13" s="1">
        <v>271</v>
      </c>
      <c r="E13" s="1">
        <v>978</v>
      </c>
      <c r="F13" s="1">
        <v>0</v>
      </c>
      <c r="G13" s="1">
        <v>271</v>
      </c>
      <c r="H13" s="1">
        <v>0</v>
      </c>
    </row>
    <row r="14" spans="1:8">
      <c r="A14" s="1" t="s">
        <v>14</v>
      </c>
      <c r="B14" s="2">
        <v>2.256867647171021</v>
      </c>
      <c r="C14" s="1">
        <v>1174</v>
      </c>
      <c r="D14" s="1">
        <v>12</v>
      </c>
      <c r="E14" s="1">
        <v>1162</v>
      </c>
      <c r="F14" s="1">
        <v>0</v>
      </c>
      <c r="G14" s="1">
        <v>12</v>
      </c>
      <c r="H14" s="1">
        <v>0</v>
      </c>
    </row>
    <row r="15" spans="1:8">
      <c r="A15" s="1" t="s">
        <v>27</v>
      </c>
      <c r="B15" s="2">
        <v>2.195351600646973</v>
      </c>
      <c r="C15" s="1">
        <v>1142</v>
      </c>
      <c r="D15" s="1">
        <v>0</v>
      </c>
      <c r="E15" s="1">
        <v>1142</v>
      </c>
      <c r="F15" s="1">
        <v>0</v>
      </c>
      <c r="G15" s="1">
        <v>0</v>
      </c>
      <c r="H15" s="1">
        <v>0</v>
      </c>
    </row>
    <row r="16" spans="1:8">
      <c r="A16" s="1" t="s">
        <v>13</v>
      </c>
      <c r="B16" s="2">
        <v>2.118456602096558</v>
      </c>
      <c r="C16" s="1">
        <v>1102</v>
      </c>
      <c r="D16" s="1">
        <v>60</v>
      </c>
      <c r="E16" s="1">
        <v>1082</v>
      </c>
      <c r="F16" s="1">
        <v>0</v>
      </c>
      <c r="G16" s="1">
        <v>20</v>
      </c>
      <c r="H16" s="1">
        <v>40</v>
      </c>
    </row>
    <row r="17" spans="1:8">
      <c r="A17" s="1" t="s">
        <v>28</v>
      </c>
      <c r="B17" s="2">
        <v>1.930063962936401</v>
      </c>
      <c r="C17" s="1">
        <v>1004</v>
      </c>
      <c r="D17" s="1">
        <v>0</v>
      </c>
      <c r="E17" s="1">
        <v>1004</v>
      </c>
      <c r="F17" s="1">
        <v>0</v>
      </c>
      <c r="G17" s="1">
        <v>0</v>
      </c>
      <c r="H17" s="1">
        <v>0</v>
      </c>
    </row>
    <row r="18" spans="1:8">
      <c r="A18" s="1" t="s">
        <v>1</v>
      </c>
      <c r="B18" s="2">
        <v>1.691689610481262</v>
      </c>
      <c r="C18" s="1">
        <v>880</v>
      </c>
      <c r="D18" s="1">
        <v>49184</v>
      </c>
      <c r="E18" s="1">
        <v>848</v>
      </c>
      <c r="F18" s="1">
        <v>0</v>
      </c>
      <c r="G18" s="1">
        <v>32</v>
      </c>
      <c r="H18" s="1">
        <v>49152</v>
      </c>
    </row>
    <row r="19" spans="1:8">
      <c r="A19" s="1" t="s">
        <v>4</v>
      </c>
      <c r="B19" s="2">
        <v>1.589803695678711</v>
      </c>
      <c r="C19" s="1">
        <v>827</v>
      </c>
      <c r="D19" s="1">
        <v>1033</v>
      </c>
      <c r="E19" s="1">
        <v>826</v>
      </c>
      <c r="F19" s="1">
        <v>0</v>
      </c>
      <c r="G19" s="1">
        <v>1</v>
      </c>
      <c r="H19" s="1">
        <v>1032</v>
      </c>
    </row>
    <row r="20" spans="1:8">
      <c r="A20" s="1" t="s">
        <v>29</v>
      </c>
      <c r="B20" s="2">
        <v>1.457159876823425</v>
      </c>
      <c r="C20" s="1">
        <v>758</v>
      </c>
      <c r="D20" s="1">
        <v>0</v>
      </c>
      <c r="E20" s="1">
        <v>758</v>
      </c>
      <c r="F20" s="1">
        <v>0</v>
      </c>
      <c r="G20" s="1">
        <v>0</v>
      </c>
      <c r="H20" s="1">
        <v>0</v>
      </c>
    </row>
    <row r="21" spans="1:8">
      <c r="A21" s="1" t="s">
        <v>2</v>
      </c>
      <c r="B21" s="2">
        <v>1.107287764549255</v>
      </c>
      <c r="C21" s="1">
        <v>576</v>
      </c>
      <c r="D21" s="1">
        <v>34852</v>
      </c>
      <c r="E21" s="1">
        <v>504</v>
      </c>
      <c r="F21" s="1">
        <v>36</v>
      </c>
      <c r="G21" s="1">
        <v>36</v>
      </c>
      <c r="H21" s="1">
        <v>34816</v>
      </c>
    </row>
    <row r="22" spans="1:8">
      <c r="A22" s="1" t="s">
        <v>30</v>
      </c>
      <c r="B22" s="2">
        <v>1.053461194038391</v>
      </c>
      <c r="C22" s="1">
        <v>548</v>
      </c>
      <c r="D22" s="1">
        <v>0</v>
      </c>
      <c r="E22" s="1">
        <v>548</v>
      </c>
      <c r="F22" s="1">
        <v>0</v>
      </c>
      <c r="G22" s="1">
        <v>0</v>
      </c>
      <c r="H22" s="1">
        <v>0</v>
      </c>
    </row>
    <row r="23" spans="1:8">
      <c r="A23" s="1" t="s">
        <v>7</v>
      </c>
      <c r="B23" s="2">
        <v>0.9842557311058044</v>
      </c>
      <c r="C23" s="1">
        <v>512</v>
      </c>
      <c r="D23" s="1">
        <v>334</v>
      </c>
      <c r="E23" s="1">
        <v>434</v>
      </c>
      <c r="F23" s="1">
        <v>0</v>
      </c>
      <c r="G23" s="1">
        <v>78</v>
      </c>
      <c r="H23" s="1">
        <v>256</v>
      </c>
    </row>
    <row r="24" spans="1:8">
      <c r="A24" s="1" t="s">
        <v>5</v>
      </c>
      <c r="B24" s="2">
        <v>0.8535342812538147</v>
      </c>
      <c r="C24" s="1">
        <v>444</v>
      </c>
      <c r="D24" s="1">
        <v>1024</v>
      </c>
      <c r="E24" s="1">
        <v>52</v>
      </c>
      <c r="F24" s="1">
        <v>392</v>
      </c>
      <c r="G24" s="1">
        <v>0</v>
      </c>
      <c r="H24" s="1">
        <v>1024</v>
      </c>
    </row>
    <row r="25" spans="1:8">
      <c r="A25" s="1" t="s">
        <v>9</v>
      </c>
      <c r="B25" s="2">
        <v>0.8362329006195068</v>
      </c>
      <c r="C25" s="1">
        <v>435</v>
      </c>
      <c r="D25" s="1">
        <v>271</v>
      </c>
      <c r="E25" s="1">
        <v>432</v>
      </c>
      <c r="F25" s="1">
        <v>0</v>
      </c>
      <c r="G25" s="1">
        <v>3</v>
      </c>
      <c r="H25" s="1">
        <v>268</v>
      </c>
    </row>
    <row r="26" spans="1:8">
      <c r="A26" s="1" t="s">
        <v>3</v>
      </c>
      <c r="B26" s="2">
        <v>0.8227763175964356</v>
      </c>
      <c r="C26" s="1">
        <v>428</v>
      </c>
      <c r="D26" s="1">
        <v>1352</v>
      </c>
      <c r="E26" s="1">
        <v>396</v>
      </c>
      <c r="F26" s="1">
        <v>0</v>
      </c>
      <c r="G26" s="1">
        <v>32</v>
      </c>
      <c r="H26" s="1">
        <v>1320</v>
      </c>
    </row>
    <row r="27" spans="1:8">
      <c r="A27" s="1" t="s">
        <v>31</v>
      </c>
      <c r="B27" s="2">
        <v>0.6612968444824219</v>
      </c>
      <c r="C27" s="1">
        <v>344</v>
      </c>
      <c r="D27" s="1">
        <v>0</v>
      </c>
      <c r="E27" s="1">
        <v>344</v>
      </c>
      <c r="F27" s="1">
        <v>0</v>
      </c>
      <c r="G27" s="1">
        <v>0</v>
      </c>
      <c r="H27" s="1">
        <v>0</v>
      </c>
    </row>
    <row r="28" spans="1:8">
      <c r="A28" s="1" t="s">
        <v>32</v>
      </c>
      <c r="B28" s="2">
        <v>0.6420730948448181</v>
      </c>
      <c r="C28" s="1">
        <v>334</v>
      </c>
      <c r="D28" s="1">
        <v>0</v>
      </c>
      <c r="E28" s="1">
        <v>334</v>
      </c>
      <c r="F28" s="1">
        <v>0</v>
      </c>
      <c r="G28" s="1">
        <v>0</v>
      </c>
      <c r="H28" s="1">
        <v>0</v>
      </c>
    </row>
    <row r="29" spans="1:8">
      <c r="A29" s="1" t="s">
        <v>11</v>
      </c>
      <c r="B29" s="2">
        <v>0.6151598691940308</v>
      </c>
      <c r="C29" s="1">
        <v>320</v>
      </c>
      <c r="D29" s="1">
        <v>92</v>
      </c>
      <c r="E29" s="1">
        <v>320</v>
      </c>
      <c r="F29" s="1">
        <v>0</v>
      </c>
      <c r="G29" s="1">
        <v>0</v>
      </c>
      <c r="H29" s="1">
        <v>92</v>
      </c>
    </row>
    <row r="30" spans="1:8">
      <c r="A30" s="1" t="s">
        <v>33</v>
      </c>
      <c r="B30" s="2">
        <v>0.4459908902645111</v>
      </c>
      <c r="C30" s="1">
        <v>232</v>
      </c>
      <c r="D30" s="1">
        <v>0</v>
      </c>
      <c r="E30" s="1">
        <v>232</v>
      </c>
      <c r="F30" s="1">
        <v>0</v>
      </c>
      <c r="G30" s="1">
        <v>0</v>
      </c>
      <c r="H30" s="1">
        <v>0</v>
      </c>
    </row>
    <row r="31" spans="1:8">
      <c r="A31" s="1" t="s">
        <v>34</v>
      </c>
      <c r="B31" s="2">
        <v>0.4383013844490051</v>
      </c>
      <c r="C31" s="1">
        <v>228</v>
      </c>
      <c r="D31" s="1">
        <v>0</v>
      </c>
      <c r="E31" s="1">
        <v>228</v>
      </c>
      <c r="F31" s="1">
        <v>0</v>
      </c>
      <c r="G31" s="1">
        <v>0</v>
      </c>
      <c r="H31" s="1">
        <v>0</v>
      </c>
    </row>
    <row r="32" spans="1:8">
      <c r="A32" s="1" t="s">
        <v>16</v>
      </c>
      <c r="B32" s="2">
        <v>0.4286895096302033</v>
      </c>
      <c r="C32" s="1">
        <v>223</v>
      </c>
      <c r="D32" s="1">
        <v>9</v>
      </c>
      <c r="E32" s="1">
        <v>214</v>
      </c>
      <c r="F32" s="1">
        <v>0</v>
      </c>
      <c r="G32" s="1">
        <v>9</v>
      </c>
      <c r="H32" s="1">
        <v>0</v>
      </c>
    </row>
    <row r="33" spans="1:8">
      <c r="A33" s="1" t="s">
        <v>35</v>
      </c>
      <c r="B33" s="2">
        <v>0.4267671406269074</v>
      </c>
      <c r="C33" s="1">
        <v>222</v>
      </c>
      <c r="D33" s="1">
        <v>0</v>
      </c>
      <c r="E33" s="1">
        <v>222</v>
      </c>
      <c r="F33" s="1">
        <v>0</v>
      </c>
      <c r="G33" s="1">
        <v>0</v>
      </c>
      <c r="H33" s="1">
        <v>0</v>
      </c>
    </row>
    <row r="34" spans="1:8">
      <c r="A34" s="1" t="s">
        <v>15</v>
      </c>
      <c r="B34" s="2">
        <v>0.4229224026203156</v>
      </c>
      <c r="C34" s="1">
        <v>220</v>
      </c>
      <c r="D34" s="1">
        <v>12</v>
      </c>
      <c r="E34" s="1">
        <v>208</v>
      </c>
      <c r="F34" s="1">
        <v>0</v>
      </c>
      <c r="G34" s="1">
        <v>12</v>
      </c>
      <c r="H34" s="1">
        <v>0</v>
      </c>
    </row>
    <row r="35" spans="1:8">
      <c r="A35" s="1" t="s">
        <v>36</v>
      </c>
      <c r="B35" s="2">
        <v>0.4036986529827118</v>
      </c>
      <c r="C35" s="1">
        <v>210</v>
      </c>
      <c r="D35" s="1">
        <v>0</v>
      </c>
      <c r="E35" s="1">
        <v>210</v>
      </c>
      <c r="F35" s="1">
        <v>0</v>
      </c>
      <c r="G35" s="1">
        <v>0</v>
      </c>
      <c r="H35" s="1">
        <v>0</v>
      </c>
    </row>
    <row r="36" spans="1:8">
      <c r="A36" s="1" t="s">
        <v>37</v>
      </c>
      <c r="B36" s="2">
        <v>0.392164409160614</v>
      </c>
      <c r="C36" s="1">
        <v>204</v>
      </c>
      <c r="D36" s="1">
        <v>0</v>
      </c>
      <c r="E36" s="1">
        <v>204</v>
      </c>
      <c r="F36" s="1">
        <v>0</v>
      </c>
      <c r="G36" s="1">
        <v>0</v>
      </c>
      <c r="H36" s="1">
        <v>0</v>
      </c>
    </row>
    <row r="37" spans="1:8">
      <c r="A37" s="1" t="s">
        <v>38</v>
      </c>
      <c r="B37" s="2">
        <v>0.3575616478919983</v>
      </c>
      <c r="C37" s="1">
        <v>186</v>
      </c>
      <c r="D37" s="1">
        <v>0</v>
      </c>
      <c r="E37" s="1">
        <v>186</v>
      </c>
      <c r="F37" s="1">
        <v>0</v>
      </c>
      <c r="G37" s="1">
        <v>0</v>
      </c>
      <c r="H37" s="1">
        <v>0</v>
      </c>
    </row>
    <row r="38" spans="1:8">
      <c r="A38" s="1" t="s">
        <v>20</v>
      </c>
      <c r="B38" s="2">
        <v>0.3383379280567169</v>
      </c>
      <c r="C38" s="1">
        <v>176</v>
      </c>
      <c r="D38" s="1">
        <v>4</v>
      </c>
      <c r="E38" s="1">
        <v>172</v>
      </c>
      <c r="F38" s="1">
        <v>0</v>
      </c>
      <c r="G38" s="1">
        <v>4</v>
      </c>
      <c r="H38" s="1">
        <v>0</v>
      </c>
    </row>
    <row r="39" spans="1:8">
      <c r="A39" s="1" t="s">
        <v>39</v>
      </c>
      <c r="B39" s="2">
        <v>0.3344931602478027</v>
      </c>
      <c r="C39" s="1">
        <v>174</v>
      </c>
      <c r="D39" s="1">
        <v>0</v>
      </c>
      <c r="E39" s="1">
        <v>174</v>
      </c>
      <c r="F39" s="1">
        <v>0</v>
      </c>
      <c r="G39" s="1">
        <v>0</v>
      </c>
      <c r="H39" s="1">
        <v>0</v>
      </c>
    </row>
    <row r="40" spans="1:8">
      <c r="A40" s="1" t="s">
        <v>40</v>
      </c>
      <c r="B40" s="2">
        <v>0.2922009229660034</v>
      </c>
      <c r="C40" s="1">
        <v>152</v>
      </c>
      <c r="D40" s="1">
        <v>0</v>
      </c>
      <c r="E40" s="1">
        <v>152</v>
      </c>
      <c r="F40" s="1">
        <v>0</v>
      </c>
      <c r="G40" s="1">
        <v>0</v>
      </c>
      <c r="H40" s="1">
        <v>0</v>
      </c>
    </row>
    <row r="41" spans="1:8">
      <c r="A41" s="1" t="s">
        <v>41</v>
      </c>
      <c r="B41" s="2">
        <v>0.2845114171504974</v>
      </c>
      <c r="C41" s="1">
        <v>148</v>
      </c>
      <c r="D41" s="1">
        <v>0</v>
      </c>
      <c r="E41" s="1">
        <v>148</v>
      </c>
      <c r="F41" s="1">
        <v>0</v>
      </c>
      <c r="G41" s="1">
        <v>0</v>
      </c>
      <c r="H41" s="1">
        <v>0</v>
      </c>
    </row>
    <row r="42" spans="1:8">
      <c r="A42" s="1" t="s">
        <v>42</v>
      </c>
      <c r="B42" s="2">
        <v>0.188392698764801</v>
      </c>
      <c r="C42" s="1">
        <v>98</v>
      </c>
      <c r="D42" s="1">
        <v>0</v>
      </c>
      <c r="E42" s="1">
        <v>98</v>
      </c>
      <c r="F42" s="1">
        <v>0</v>
      </c>
      <c r="G42" s="1">
        <v>0</v>
      </c>
      <c r="H42" s="1">
        <v>0</v>
      </c>
    </row>
    <row r="43" spans="1:8">
      <c r="A43" s="1" t="s">
        <v>43</v>
      </c>
      <c r="B43" s="2">
        <v>0.1730137020349503</v>
      </c>
      <c r="C43" s="1">
        <v>90</v>
      </c>
      <c r="D43" s="1">
        <v>0</v>
      </c>
      <c r="E43" s="1">
        <v>90</v>
      </c>
      <c r="F43" s="1">
        <v>0</v>
      </c>
      <c r="G43" s="1">
        <v>0</v>
      </c>
      <c r="H43" s="1">
        <v>0</v>
      </c>
    </row>
    <row r="44" spans="1:8">
      <c r="A44" s="1" t="s">
        <v>44</v>
      </c>
      <c r="B44" s="2">
        <v>0.1691689640283585</v>
      </c>
      <c r="C44" s="1">
        <v>88</v>
      </c>
      <c r="D44" s="1">
        <v>0</v>
      </c>
      <c r="E44" s="1">
        <v>88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0.1653242111206055</v>
      </c>
      <c r="C45" s="1">
        <v>86</v>
      </c>
      <c r="D45" s="1">
        <v>0</v>
      </c>
      <c r="E45" s="1">
        <v>86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0.1461004614830017</v>
      </c>
      <c r="C46" s="1">
        <v>76</v>
      </c>
      <c r="D46" s="1">
        <v>0</v>
      </c>
      <c r="E46" s="1">
        <v>76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0.09611872583627701</v>
      </c>
      <c r="C47" s="1">
        <v>50</v>
      </c>
      <c r="D47" s="1">
        <v>0</v>
      </c>
      <c r="E47" s="1">
        <v>50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0.09227398037910461</v>
      </c>
      <c r="C48" s="1">
        <v>48</v>
      </c>
      <c r="D48" s="1">
        <v>0</v>
      </c>
      <c r="E48" s="1">
        <v>48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0.09227398037910461</v>
      </c>
      <c r="C49" s="1">
        <v>48</v>
      </c>
      <c r="D49" s="1">
        <v>0</v>
      </c>
      <c r="E49" s="1">
        <v>48</v>
      </c>
      <c r="F49" s="1">
        <v>0</v>
      </c>
      <c r="G49" s="1">
        <v>0</v>
      </c>
      <c r="H49" s="1">
        <v>0</v>
      </c>
    </row>
    <row r="50" spans="1:8">
      <c r="A50" s="1" t="s">
        <v>19</v>
      </c>
      <c r="B50" s="2">
        <v>0.09227398037910461</v>
      </c>
      <c r="C50" s="1">
        <v>48</v>
      </c>
      <c r="D50" s="1">
        <v>4</v>
      </c>
      <c r="E50" s="1">
        <v>20</v>
      </c>
      <c r="F50" s="1">
        <v>24</v>
      </c>
      <c r="G50" s="1">
        <v>4</v>
      </c>
      <c r="H50" s="1">
        <v>0</v>
      </c>
    </row>
    <row r="51" spans="1:8">
      <c r="A51" s="1" t="s">
        <v>50</v>
      </c>
      <c r="B51" s="2">
        <v>0.08458448201417923</v>
      </c>
      <c r="C51" s="1">
        <v>44</v>
      </c>
      <c r="D51" s="1">
        <v>0</v>
      </c>
      <c r="E51" s="1">
        <v>44</v>
      </c>
      <c r="F51" s="1">
        <v>0</v>
      </c>
      <c r="G51" s="1">
        <v>0</v>
      </c>
      <c r="H51" s="1">
        <v>0</v>
      </c>
    </row>
    <row r="52" spans="1:8">
      <c r="A52" s="1" t="s">
        <v>51</v>
      </c>
      <c r="B52" s="2">
        <v>0.06920548528432846</v>
      </c>
      <c r="C52" s="1">
        <v>36</v>
      </c>
      <c r="D52" s="1">
        <v>0</v>
      </c>
      <c r="E52" s="1">
        <v>36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0.06920548528432846</v>
      </c>
      <c r="C53" s="1">
        <v>36</v>
      </c>
      <c r="D53" s="1">
        <v>0</v>
      </c>
      <c r="E53" s="1">
        <v>36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0.06920548528432846</v>
      </c>
      <c r="C54" s="1">
        <v>36</v>
      </c>
      <c r="D54" s="1">
        <v>0</v>
      </c>
      <c r="E54" s="1">
        <v>36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0.06920548528432846</v>
      </c>
      <c r="C55" s="1">
        <v>36</v>
      </c>
      <c r="D55" s="1">
        <v>0</v>
      </c>
      <c r="E55" s="1">
        <v>36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0.06151598319411278</v>
      </c>
      <c r="C56" s="1">
        <v>32</v>
      </c>
      <c r="D56" s="1">
        <v>0</v>
      </c>
      <c r="E56" s="1">
        <v>32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0.05767123401165009</v>
      </c>
      <c r="C57" s="1">
        <v>30</v>
      </c>
      <c r="D57" s="1">
        <v>0</v>
      </c>
      <c r="E57" s="1">
        <v>30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0.05767123401165009</v>
      </c>
      <c r="C58" s="1">
        <v>30</v>
      </c>
      <c r="D58" s="1">
        <v>0</v>
      </c>
      <c r="E58" s="1">
        <v>30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0.0499817356467247</v>
      </c>
      <c r="C59" s="1">
        <v>26</v>
      </c>
      <c r="D59" s="1">
        <v>0</v>
      </c>
      <c r="E59" s="1">
        <v>26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0.03844749182462692</v>
      </c>
      <c r="C60" s="1">
        <v>20</v>
      </c>
      <c r="D60" s="1">
        <v>0</v>
      </c>
      <c r="E60" s="1">
        <v>20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0.03460274264216423</v>
      </c>
      <c r="C61" s="1">
        <v>18</v>
      </c>
      <c r="D61" s="1">
        <v>0</v>
      </c>
      <c r="E61" s="1">
        <v>18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0.01537899579852819</v>
      </c>
      <c r="C62" s="1">
        <v>8</v>
      </c>
      <c r="D62" s="1">
        <v>0</v>
      </c>
      <c r="E62" s="1">
        <v>8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0.01537899579852819</v>
      </c>
      <c r="C63" s="1">
        <v>8</v>
      </c>
      <c r="D63" s="1">
        <v>0</v>
      </c>
      <c r="E63" s="1">
        <v>8</v>
      </c>
      <c r="F63" s="1">
        <v>0</v>
      </c>
      <c r="G63" s="1">
        <v>0</v>
      </c>
      <c r="H63" s="1">
        <v>0</v>
      </c>
    </row>
    <row r="64" spans="1:8">
      <c r="A64" s="1" t="s">
        <v>18</v>
      </c>
      <c r="B64" s="2">
        <v>0.007689497899264097</v>
      </c>
      <c r="C64" s="1">
        <v>4</v>
      </c>
      <c r="D64" s="1">
        <v>4</v>
      </c>
      <c r="E64" s="1">
        <v>0</v>
      </c>
      <c r="F64" s="1">
        <v>0</v>
      </c>
      <c r="G64" s="1">
        <v>4</v>
      </c>
      <c r="H64" s="1">
        <v>0</v>
      </c>
    </row>
    <row r="65" spans="1:8">
      <c r="A65" s="1" t="s">
        <v>63</v>
      </c>
      <c r="B65" s="2">
        <v>0.007689497899264097</v>
      </c>
      <c r="C65" s="1">
        <v>4</v>
      </c>
      <c r="D65" s="1">
        <v>0</v>
      </c>
      <c r="E65" s="1">
        <v>4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0.007689497899264097</v>
      </c>
      <c r="C66" s="1">
        <v>4</v>
      </c>
      <c r="D66" s="1">
        <v>0</v>
      </c>
      <c r="E66" s="1">
        <v>4</v>
      </c>
      <c r="F66" s="1">
        <v>0</v>
      </c>
      <c r="G66" s="1">
        <v>0</v>
      </c>
      <c r="H66" s="1">
        <v>0</v>
      </c>
    </row>
    <row r="67" spans="1:8">
      <c r="A67" t="s">
        <v>66</v>
      </c>
      <c r="B67">
        <f>SUBTOTAL(109,[flash_percent])</f>
        <v>0</v>
      </c>
      <c r="C67">
        <f>SUBTOTAL(109,[flash])</f>
        <v>0</v>
      </c>
      <c r="D67">
        <f>SUBTOTAL(109,[ram])</f>
        <v>0</v>
      </c>
      <c r="E67">
        <f>SUBTOTAL(109,[Code])</f>
        <v>0</v>
      </c>
      <c r="F67">
        <f>SUBTOTAL(109,[RO_data])</f>
        <v>0</v>
      </c>
      <c r="G67">
        <f>SUBTOTAL(109,[RW_data])</f>
        <v>0</v>
      </c>
      <c r="H6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2025-11-15T04:35:03Z</dcterms:created>
  <dcterms:modified xsi:type="dcterms:W3CDTF">2025-11-15T04:35:03Z</dcterms:modified>
</cp:coreProperties>
</file>